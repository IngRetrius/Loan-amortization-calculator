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UARIO1\Documents\PublicacionesLinkedin\Finance Debt\"/>
    </mc:Choice>
  </mc:AlternateContent>
  <xr:revisionPtr revIDLastSave="0" documentId="13_ncr:1_{EE11A970-2F70-4279-8F51-DC39D694AF5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Credit_1" sheetId="3" r:id="rId2"/>
    <sheet name="Credit_2" sheetId="4" r:id="rId3"/>
    <sheet name="Credit_3" sheetId="5" r:id="rId4"/>
    <sheet name="Dashboard" sheetId="2" r:id="rId5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0" i="5" l="1"/>
  <c r="G217" i="5"/>
  <c r="I17" i="5"/>
  <c r="F17" i="5"/>
  <c r="E13" i="5"/>
  <c r="E27" i="2" s="1"/>
  <c r="B12" i="5"/>
  <c r="C27" i="2" s="1"/>
  <c r="B11" i="5"/>
  <c r="B27" i="2" s="1"/>
  <c r="E4" i="5"/>
  <c r="E5" i="5" s="1"/>
  <c r="E6" i="5" s="1"/>
  <c r="E7" i="5" s="1"/>
  <c r="B220" i="4"/>
  <c r="G217" i="4"/>
  <c r="I17" i="4"/>
  <c r="F17" i="4"/>
  <c r="E13" i="4"/>
  <c r="E26" i="2" s="1"/>
  <c r="B12" i="4"/>
  <c r="G7" i="2" s="1"/>
  <c r="B11" i="4"/>
  <c r="H7" i="2" s="1"/>
  <c r="E4" i="4"/>
  <c r="C17" i="4" s="1"/>
  <c r="B220" i="3"/>
  <c r="G217" i="3"/>
  <c r="I17" i="3"/>
  <c r="F17" i="3"/>
  <c r="B11" i="3"/>
  <c r="B25" i="2" s="1"/>
  <c r="E4" i="3"/>
  <c r="E5" i="3" s="1"/>
  <c r="D6" i="2" s="1"/>
  <c r="A27" i="2"/>
  <c r="A26" i="2"/>
  <c r="A25" i="2"/>
  <c r="M8" i="2"/>
  <c r="L8" i="2"/>
  <c r="K8" i="2"/>
  <c r="E8" i="2"/>
  <c r="C8" i="2"/>
  <c r="B8" i="2"/>
  <c r="A8" i="2"/>
  <c r="N7" i="2"/>
  <c r="M7" i="2"/>
  <c r="L7" i="2"/>
  <c r="K7" i="2"/>
  <c r="E7" i="2"/>
  <c r="C7" i="2"/>
  <c r="B7" i="2"/>
  <c r="A7" i="2"/>
  <c r="M6" i="2"/>
  <c r="L6" i="2"/>
  <c r="N6" i="2" s="1"/>
  <c r="K6" i="2"/>
  <c r="E6" i="2"/>
  <c r="C6" i="2"/>
  <c r="B6" i="2"/>
  <c r="A6" i="2"/>
  <c r="F6" i="2" l="1"/>
  <c r="N8" i="2"/>
  <c r="B9" i="2"/>
  <c r="B12" i="2" s="1"/>
  <c r="C17" i="5"/>
  <c r="B17" i="5" s="1"/>
  <c r="G8" i="2"/>
  <c r="H8" i="2"/>
  <c r="D8" i="2"/>
  <c r="F8" i="2" s="1"/>
  <c r="B26" i="2"/>
  <c r="B28" i="2" s="1"/>
  <c r="C26" i="2"/>
  <c r="E5" i="4"/>
  <c r="E9" i="2"/>
  <c r="B14" i="2" s="1"/>
  <c r="C21" i="2"/>
  <c r="B21" i="2"/>
  <c r="D20" i="2"/>
  <c r="C20" i="2"/>
  <c r="B20" i="2"/>
  <c r="B19" i="2"/>
  <c r="D21" i="2"/>
  <c r="D19" i="2"/>
  <c r="C19" i="2"/>
  <c r="H6" i="2"/>
  <c r="E6" i="3"/>
  <c r="E7" i="3" s="1"/>
  <c r="C17" i="3"/>
  <c r="B17" i="4"/>
  <c r="E6" i="4" l="1"/>
  <c r="E7" i="4" s="1"/>
  <c r="D7" i="2"/>
  <c r="D17" i="4"/>
  <c r="H17" i="4"/>
  <c r="B17" i="3"/>
  <c r="H17" i="5"/>
  <c r="D17" i="5"/>
  <c r="F7" i="2" l="1"/>
  <c r="F9" i="2" s="1"/>
  <c r="B15" i="2" s="1"/>
  <c r="D9" i="2"/>
  <c r="B13" i="2" s="1"/>
  <c r="E17" i="4"/>
  <c r="E17" i="5"/>
  <c r="D17" i="3"/>
  <c r="H17" i="3"/>
  <c r="F18" i="4" l="1"/>
  <c r="C18" i="4"/>
  <c r="B18" i="4" s="1"/>
  <c r="E17" i="3"/>
  <c r="C18" i="5"/>
  <c r="F18" i="5"/>
  <c r="H18" i="4" l="1"/>
  <c r="D18" i="4"/>
  <c r="F18" i="3"/>
  <c r="C18" i="3"/>
  <c r="B18" i="5"/>
  <c r="H18" i="5" l="1"/>
  <c r="D18" i="5"/>
  <c r="E18" i="4"/>
  <c r="B18" i="3"/>
  <c r="H18" i="3" l="1"/>
  <c r="D18" i="3"/>
  <c r="F19" i="4"/>
  <c r="C19" i="4"/>
  <c r="B19" i="4"/>
  <c r="I18" i="4"/>
  <c r="E18" i="5"/>
  <c r="H19" i="4" l="1"/>
  <c r="E18" i="3"/>
  <c r="D19" i="4"/>
  <c r="F19" i="5"/>
  <c r="C19" i="5"/>
  <c r="I18" i="5"/>
  <c r="B19" i="5"/>
  <c r="E19" i="4" l="1"/>
  <c r="H19" i="5"/>
  <c r="C19" i="3"/>
  <c r="B19" i="3" s="1"/>
  <c r="D19" i="3" s="1"/>
  <c r="I18" i="3"/>
  <c r="F19" i="3"/>
  <c r="D19" i="5"/>
  <c r="E19" i="5" l="1"/>
  <c r="C20" i="4"/>
  <c r="B20" i="4" s="1"/>
  <c r="D20" i="4" s="1"/>
  <c r="E20" i="4" s="1"/>
  <c r="F20" i="4"/>
  <c r="I19" i="4"/>
  <c r="E19" i="3"/>
  <c r="E13" i="3" s="1"/>
  <c r="E25" i="2" s="1"/>
  <c r="E28" i="2" s="1"/>
  <c r="H19" i="3"/>
  <c r="B12" i="3" s="1"/>
  <c r="C25" i="2" l="1"/>
  <c r="C28" i="2" s="1"/>
  <c r="G6" i="2"/>
  <c r="G9" i="2" s="1"/>
  <c r="F21" i="4"/>
  <c r="C21" i="4"/>
  <c r="B21" i="4" s="1"/>
  <c r="I20" i="4"/>
  <c r="F20" i="3"/>
  <c r="C20" i="3"/>
  <c r="B20" i="3" s="1"/>
  <c r="I19" i="3"/>
  <c r="C20" i="5"/>
  <c r="B20" i="5" s="1"/>
  <c r="D20" i="5" s="1"/>
  <c r="I19" i="5"/>
  <c r="F20" i="5"/>
  <c r="H20" i="4"/>
  <c r="H21" i="4" l="1"/>
  <c r="D21" i="4"/>
  <c r="E21" i="4" s="1"/>
  <c r="H20" i="3"/>
  <c r="D20" i="3"/>
  <c r="E20" i="5"/>
  <c r="H20" i="5"/>
  <c r="F21" i="5" l="1"/>
  <c r="C21" i="5"/>
  <c r="B21" i="5" s="1"/>
  <c r="I20" i="5"/>
  <c r="I21" i="4"/>
  <c r="C22" i="4"/>
  <c r="B22" i="4" s="1"/>
  <c r="F22" i="4"/>
  <c r="E20" i="3"/>
  <c r="H22" i="4" l="1"/>
  <c r="D22" i="4"/>
  <c r="E22" i="4" s="1"/>
  <c r="H21" i="5"/>
  <c r="D21" i="5"/>
  <c r="E21" i="5" s="1"/>
  <c r="I20" i="3"/>
  <c r="C21" i="3"/>
  <c r="B21" i="3" s="1"/>
  <c r="F21" i="3"/>
  <c r="H21" i="3" l="1"/>
  <c r="D21" i="3"/>
  <c r="E21" i="3" s="1"/>
  <c r="I21" i="5"/>
  <c r="F22" i="5"/>
  <c r="C22" i="5"/>
  <c r="B22" i="5" s="1"/>
  <c r="F23" i="4"/>
  <c r="C23" i="4"/>
  <c r="B23" i="4" s="1"/>
  <c r="H23" i="4" s="1"/>
  <c r="I22" i="4"/>
  <c r="H22" i="5" l="1"/>
  <c r="D22" i="5"/>
  <c r="E22" i="5" s="1"/>
  <c r="F22" i="3"/>
  <c r="C22" i="3"/>
  <c r="B22" i="3" s="1"/>
  <c r="I21" i="3"/>
  <c r="D23" i="4"/>
  <c r="E23" i="4" s="1"/>
  <c r="H22" i="3" l="1"/>
  <c r="F23" i="5"/>
  <c r="C23" i="5"/>
  <c r="B23" i="5" s="1"/>
  <c r="I22" i="5"/>
  <c r="C24" i="4"/>
  <c r="B24" i="4"/>
  <c r="I23" i="4"/>
  <c r="F24" i="4"/>
  <c r="D22" i="3"/>
  <c r="E22" i="3" s="1"/>
  <c r="H23" i="5" l="1"/>
  <c r="D23" i="5"/>
  <c r="E23" i="5" s="1"/>
  <c r="H24" i="4"/>
  <c r="D24" i="4"/>
  <c r="E24" i="4" s="1"/>
  <c r="C23" i="3"/>
  <c r="I22" i="3"/>
  <c r="F23" i="3"/>
  <c r="B23" i="3"/>
  <c r="H23" i="3" l="1"/>
  <c r="D23" i="3"/>
  <c r="E23" i="3" s="1"/>
  <c r="C25" i="4"/>
  <c r="I24" i="4"/>
  <c r="F25" i="4"/>
  <c r="B25" i="4"/>
  <c r="H25" i="4" s="1"/>
  <c r="F24" i="5"/>
  <c r="I23" i="5"/>
  <c r="C24" i="5"/>
  <c r="B24" i="5" s="1"/>
  <c r="H24" i="5" s="1"/>
  <c r="D24" i="5" l="1"/>
  <c r="E24" i="5" s="1"/>
  <c r="D25" i="4"/>
  <c r="E25" i="4" s="1"/>
  <c r="C24" i="3"/>
  <c r="B24" i="3" s="1"/>
  <c r="I23" i="3"/>
  <c r="F24" i="3"/>
  <c r="H24" i="3" l="1"/>
  <c r="D24" i="3"/>
  <c r="E24" i="3" s="1"/>
  <c r="F26" i="4"/>
  <c r="C26" i="4"/>
  <c r="B26" i="4" s="1"/>
  <c r="I25" i="4"/>
  <c r="C25" i="5"/>
  <c r="B25" i="5"/>
  <c r="I24" i="5"/>
  <c r="F25" i="5"/>
  <c r="H25" i="5" l="1"/>
  <c r="H26" i="4"/>
  <c r="D26" i="4"/>
  <c r="E26" i="4" s="1"/>
  <c r="D25" i="5"/>
  <c r="E25" i="5" s="1"/>
  <c r="F25" i="3"/>
  <c r="C25" i="3"/>
  <c r="B25" i="3" s="1"/>
  <c r="I24" i="3"/>
  <c r="H25" i="3" l="1"/>
  <c r="D25" i="3"/>
  <c r="E25" i="3" s="1"/>
  <c r="I26" i="4"/>
  <c r="F27" i="4"/>
  <c r="C27" i="4"/>
  <c r="B27" i="4" s="1"/>
  <c r="F26" i="5"/>
  <c r="C26" i="5"/>
  <c r="B26" i="5" s="1"/>
  <c r="I25" i="5"/>
  <c r="H26" i="5" l="1"/>
  <c r="D26" i="5"/>
  <c r="E26" i="5" s="1"/>
  <c r="H27" i="4"/>
  <c r="D27" i="4"/>
  <c r="E27" i="4" s="1"/>
  <c r="C26" i="3"/>
  <c r="B26" i="3" s="1"/>
  <c r="D26" i="3" s="1"/>
  <c r="E26" i="3" s="1"/>
  <c r="I25" i="3"/>
  <c r="F26" i="3"/>
  <c r="F28" i="4" l="1"/>
  <c r="C28" i="4"/>
  <c r="B28" i="4"/>
  <c r="H28" i="4" s="1"/>
  <c r="I27" i="4"/>
  <c r="F27" i="3"/>
  <c r="I26" i="3"/>
  <c r="C27" i="3"/>
  <c r="B27" i="3" s="1"/>
  <c r="H26" i="3"/>
  <c r="I26" i="5"/>
  <c r="F27" i="5"/>
  <c r="C27" i="5"/>
  <c r="B27" i="5" s="1"/>
  <c r="H27" i="5" l="1"/>
  <c r="D27" i="5"/>
  <c r="E27" i="5" s="1"/>
  <c r="H27" i="3"/>
  <c r="D27" i="3"/>
  <c r="E27" i="3" s="1"/>
  <c r="D28" i="4"/>
  <c r="E28" i="4" s="1"/>
  <c r="I28" i="4" l="1"/>
  <c r="F29" i="4"/>
  <c r="C29" i="4"/>
  <c r="B29" i="4" s="1"/>
  <c r="I27" i="3"/>
  <c r="F28" i="3"/>
  <c r="C28" i="3"/>
  <c r="B28" i="3" s="1"/>
  <c r="F28" i="5"/>
  <c r="C28" i="5"/>
  <c r="B28" i="5"/>
  <c r="H28" i="5" s="1"/>
  <c r="I27" i="5"/>
  <c r="H28" i="3" l="1"/>
  <c r="D28" i="3"/>
  <c r="E28" i="3" s="1"/>
  <c r="H29" i="4"/>
  <c r="D29" i="4"/>
  <c r="E29" i="4" s="1"/>
  <c r="D28" i="5"/>
  <c r="E28" i="5" s="1"/>
  <c r="F29" i="5" l="1"/>
  <c r="C29" i="5"/>
  <c r="B29" i="5" s="1"/>
  <c r="I28" i="5"/>
  <c r="F29" i="3"/>
  <c r="C29" i="3"/>
  <c r="B29" i="3" s="1"/>
  <c r="H29" i="3" s="1"/>
  <c r="I28" i="3"/>
  <c r="F30" i="4"/>
  <c r="C30" i="4"/>
  <c r="B30" i="4" s="1"/>
  <c r="I29" i="4"/>
  <c r="H30" i="4" l="1"/>
  <c r="D30" i="4"/>
  <c r="E30" i="4" s="1"/>
  <c r="H29" i="5"/>
  <c r="D29" i="5"/>
  <c r="E29" i="5" s="1"/>
  <c r="D29" i="3"/>
  <c r="E29" i="3" s="1"/>
  <c r="C30" i="5" l="1"/>
  <c r="B30" i="5" s="1"/>
  <c r="I29" i="5"/>
  <c r="F30" i="5"/>
  <c r="F30" i="3"/>
  <c r="C30" i="3"/>
  <c r="B30" i="3" s="1"/>
  <c r="I29" i="3"/>
  <c r="C31" i="4"/>
  <c r="B31" i="4"/>
  <c r="I30" i="4"/>
  <c r="D31" i="4"/>
  <c r="E31" i="4" s="1"/>
  <c r="F31" i="4"/>
  <c r="C32" i="4" l="1"/>
  <c r="B32" i="4" s="1"/>
  <c r="F32" i="4"/>
  <c r="I31" i="4"/>
  <c r="H30" i="3"/>
  <c r="D30" i="3"/>
  <c r="E30" i="3" s="1"/>
  <c r="H30" i="5"/>
  <c r="H31" i="4"/>
  <c r="D30" i="5"/>
  <c r="E30" i="5" s="1"/>
  <c r="H32" i="4" l="1"/>
  <c r="D32" i="4"/>
  <c r="E32" i="4" s="1"/>
  <c r="F31" i="5"/>
  <c r="C31" i="5"/>
  <c r="B31" i="5" s="1"/>
  <c r="I30" i="5"/>
  <c r="C31" i="3"/>
  <c r="B31" i="3" s="1"/>
  <c r="I30" i="3"/>
  <c r="F31" i="3"/>
  <c r="H31" i="3" l="1"/>
  <c r="H31" i="5"/>
  <c r="D31" i="5"/>
  <c r="E31" i="5" s="1"/>
  <c r="D31" i="3"/>
  <c r="E31" i="3" s="1"/>
  <c r="C33" i="4"/>
  <c r="B33" i="4" s="1"/>
  <c r="I32" i="4"/>
  <c r="F33" i="4"/>
  <c r="H33" i="4" l="1"/>
  <c r="D33" i="4"/>
  <c r="E33" i="4" s="1"/>
  <c r="F32" i="3"/>
  <c r="C32" i="3"/>
  <c r="B32" i="3" s="1"/>
  <c r="I31" i="3"/>
  <c r="C32" i="5"/>
  <c r="B32" i="5"/>
  <c r="I31" i="5"/>
  <c r="F32" i="5"/>
  <c r="H32" i="3" l="1"/>
  <c r="D32" i="3"/>
  <c r="E32" i="3" s="1"/>
  <c r="H32" i="5"/>
  <c r="D32" i="5"/>
  <c r="E32" i="5" s="1"/>
  <c r="I33" i="4"/>
  <c r="F34" i="4"/>
  <c r="C34" i="4"/>
  <c r="B34" i="4" s="1"/>
  <c r="H34" i="4" l="1"/>
  <c r="D34" i="4"/>
  <c r="E34" i="4" s="1"/>
  <c r="F35" i="4"/>
  <c r="C35" i="4"/>
  <c r="B35" i="4"/>
  <c r="H35" i="4" s="1"/>
  <c r="I34" i="4"/>
  <c r="F33" i="5"/>
  <c r="C33" i="5"/>
  <c r="B33" i="5" s="1"/>
  <c r="I32" i="5"/>
  <c r="I32" i="3"/>
  <c r="F33" i="3"/>
  <c r="C33" i="3"/>
  <c r="B33" i="3" s="1"/>
  <c r="H33" i="3" l="1"/>
  <c r="D33" i="3"/>
  <c r="E33" i="3" s="1"/>
  <c r="H33" i="5"/>
  <c r="D33" i="5"/>
  <c r="E33" i="5" s="1"/>
  <c r="D35" i="4"/>
  <c r="E35" i="4" s="1"/>
  <c r="I35" i="4" l="1"/>
  <c r="F36" i="4"/>
  <c r="C36" i="4"/>
  <c r="B36" i="4" s="1"/>
  <c r="I33" i="5"/>
  <c r="F34" i="5"/>
  <c r="C34" i="5"/>
  <c r="B34" i="5" s="1"/>
  <c r="H34" i="5" s="1"/>
  <c r="F34" i="3"/>
  <c r="C34" i="3"/>
  <c r="B34" i="3" s="1"/>
  <c r="I33" i="3"/>
  <c r="H34" i="3" l="1"/>
  <c r="D34" i="3"/>
  <c r="E34" i="3" s="1"/>
  <c r="H36" i="4"/>
  <c r="D36" i="4"/>
  <c r="E36" i="4" s="1"/>
  <c r="D34" i="5"/>
  <c r="E34" i="5" s="1"/>
  <c r="F35" i="5" l="1"/>
  <c r="C35" i="5"/>
  <c r="B35" i="5" s="1"/>
  <c r="H35" i="5" s="1"/>
  <c r="I34" i="5"/>
  <c r="C37" i="4"/>
  <c r="I36" i="4"/>
  <c r="F37" i="4"/>
  <c r="B37" i="4"/>
  <c r="H37" i="4" s="1"/>
  <c r="F35" i="3"/>
  <c r="C35" i="3"/>
  <c r="B35" i="3" s="1"/>
  <c r="I34" i="3"/>
  <c r="H35" i="3" l="1"/>
  <c r="D37" i="4"/>
  <c r="E37" i="4" s="1"/>
  <c r="D35" i="3"/>
  <c r="E35" i="3" s="1"/>
  <c r="D35" i="5"/>
  <c r="E35" i="5" s="1"/>
  <c r="F36" i="5" l="1"/>
  <c r="C36" i="5"/>
  <c r="I35" i="5"/>
  <c r="B36" i="5"/>
  <c r="H36" i="5" s="1"/>
  <c r="C36" i="3"/>
  <c r="B36" i="3" s="1"/>
  <c r="I35" i="3"/>
  <c r="F36" i="3"/>
  <c r="F38" i="4"/>
  <c r="I37" i="4"/>
  <c r="C38" i="4"/>
  <c r="B38" i="4" s="1"/>
  <c r="H36" i="3" l="1"/>
  <c r="H38" i="4"/>
  <c r="D38" i="4"/>
  <c r="E38" i="4" s="1"/>
  <c r="D36" i="3"/>
  <c r="E36" i="3" s="1"/>
  <c r="D36" i="5"/>
  <c r="E36" i="5" s="1"/>
  <c r="C37" i="5" l="1"/>
  <c r="B37" i="5" s="1"/>
  <c r="I36" i="5"/>
  <c r="F37" i="5"/>
  <c r="F37" i="3"/>
  <c r="C37" i="3"/>
  <c r="B37" i="3" s="1"/>
  <c r="I36" i="3"/>
  <c r="I38" i="4"/>
  <c r="F39" i="4"/>
  <c r="C39" i="4"/>
  <c r="B39" i="4" s="1"/>
  <c r="H39" i="4" l="1"/>
  <c r="D39" i="4"/>
  <c r="E39" i="4" s="1"/>
  <c r="H37" i="3"/>
  <c r="D37" i="3"/>
  <c r="E37" i="3" s="1"/>
  <c r="H37" i="5"/>
  <c r="D37" i="5"/>
  <c r="E37" i="5" s="1"/>
  <c r="C38" i="3" l="1"/>
  <c r="B38" i="3" s="1"/>
  <c r="D38" i="3" s="1"/>
  <c r="E38" i="3" s="1"/>
  <c r="I37" i="3"/>
  <c r="F38" i="3"/>
  <c r="F38" i="5"/>
  <c r="C38" i="5"/>
  <c r="B38" i="5" s="1"/>
  <c r="I37" i="5"/>
  <c r="F40" i="4"/>
  <c r="C40" i="4"/>
  <c r="B40" i="4"/>
  <c r="H40" i="4" s="1"/>
  <c r="I39" i="4"/>
  <c r="H38" i="5" l="1"/>
  <c r="D38" i="5"/>
  <c r="E38" i="5" s="1"/>
  <c r="F39" i="3"/>
  <c r="I38" i="3"/>
  <c r="C39" i="3"/>
  <c r="B39" i="3" s="1"/>
  <c r="H39" i="3" s="1"/>
  <c r="D40" i="4"/>
  <c r="E40" i="4" s="1"/>
  <c r="H38" i="3"/>
  <c r="F41" i="4" l="1"/>
  <c r="C41" i="4"/>
  <c r="B41" i="4"/>
  <c r="H41" i="4" s="1"/>
  <c r="I40" i="4"/>
  <c r="D39" i="3"/>
  <c r="E39" i="3" s="1"/>
  <c r="I38" i="5"/>
  <c r="F39" i="5"/>
  <c r="C39" i="5"/>
  <c r="B39" i="5" s="1"/>
  <c r="D39" i="5" s="1"/>
  <c r="E39" i="5" s="1"/>
  <c r="F40" i="5" l="1"/>
  <c r="C40" i="5"/>
  <c r="B40" i="5" s="1"/>
  <c r="H40" i="5" s="1"/>
  <c r="I39" i="5"/>
  <c r="H39" i="5"/>
  <c r="I39" i="3"/>
  <c r="F40" i="3"/>
  <c r="C40" i="3"/>
  <c r="B40" i="3" s="1"/>
  <c r="H40" i="3" s="1"/>
  <c r="D41" i="4"/>
  <c r="E41" i="4" s="1"/>
  <c r="D40" i="3" l="1"/>
  <c r="E40" i="3" s="1"/>
  <c r="D40" i="5"/>
  <c r="E40" i="5" s="1"/>
  <c r="F42" i="4"/>
  <c r="C42" i="4"/>
  <c r="B42" i="4" s="1"/>
  <c r="H42" i="4" s="1"/>
  <c r="I41" i="4"/>
  <c r="D42" i="4" l="1"/>
  <c r="E42" i="4" s="1"/>
  <c r="F41" i="5"/>
  <c r="I40" i="5"/>
  <c r="C41" i="5"/>
  <c r="B41" i="5" s="1"/>
  <c r="F41" i="3"/>
  <c r="C41" i="3"/>
  <c r="B41" i="3" s="1"/>
  <c r="H41" i="3" s="1"/>
  <c r="I40" i="3"/>
  <c r="H41" i="5" l="1"/>
  <c r="D41" i="5"/>
  <c r="E41" i="5" s="1"/>
  <c r="D41" i="3"/>
  <c r="E41" i="3" s="1"/>
  <c r="F43" i="4"/>
  <c r="C43" i="4"/>
  <c r="B43" i="4"/>
  <c r="H43" i="4" s="1"/>
  <c r="I42" i="4"/>
  <c r="D43" i="4" l="1"/>
  <c r="E43" i="4" s="1"/>
  <c r="F42" i="3"/>
  <c r="C42" i="3"/>
  <c r="B42" i="3" s="1"/>
  <c r="H42" i="3" s="1"/>
  <c r="I41" i="3"/>
  <c r="C42" i="5"/>
  <c r="B42" i="5" s="1"/>
  <c r="I41" i="5"/>
  <c r="F42" i="5"/>
  <c r="H42" i="5" l="1"/>
  <c r="D42" i="5"/>
  <c r="E42" i="5" s="1"/>
  <c r="D42" i="3"/>
  <c r="E42" i="3" s="1"/>
  <c r="C44" i="4"/>
  <c r="B44" i="4"/>
  <c r="F44" i="4"/>
  <c r="D44" i="4"/>
  <c r="E44" i="4" s="1"/>
  <c r="I43" i="4"/>
  <c r="I44" i="4" l="1"/>
  <c r="C45" i="4"/>
  <c r="B45" i="4"/>
  <c r="H45" i="4" s="1"/>
  <c r="F45" i="4"/>
  <c r="H44" i="4"/>
  <c r="C43" i="3"/>
  <c r="B43" i="3" s="1"/>
  <c r="I42" i="3"/>
  <c r="F43" i="3"/>
  <c r="F43" i="5"/>
  <c r="C43" i="5"/>
  <c r="B43" i="5" s="1"/>
  <c r="I42" i="5"/>
  <c r="H43" i="3" l="1"/>
  <c r="H43" i="5"/>
  <c r="D43" i="5"/>
  <c r="E43" i="5" s="1"/>
  <c r="D43" i="3"/>
  <c r="E43" i="3" s="1"/>
  <c r="D45" i="4"/>
  <c r="E45" i="4" s="1"/>
  <c r="I45" i="4" l="1"/>
  <c r="F46" i="4"/>
  <c r="C46" i="4"/>
  <c r="B46" i="4" s="1"/>
  <c r="F44" i="3"/>
  <c r="C44" i="3"/>
  <c r="B44" i="3" s="1"/>
  <c r="I43" i="3"/>
  <c r="C44" i="5"/>
  <c r="B44" i="5"/>
  <c r="I43" i="5"/>
  <c r="F44" i="5"/>
  <c r="D44" i="5"/>
  <c r="E44" i="5" s="1"/>
  <c r="H44" i="5" l="1"/>
  <c r="H44" i="3"/>
  <c r="D44" i="3"/>
  <c r="E44" i="3" s="1"/>
  <c r="H46" i="4"/>
  <c r="D46" i="4"/>
  <c r="E46" i="4" s="1"/>
  <c r="F45" i="5"/>
  <c r="C45" i="5"/>
  <c r="B45" i="5" s="1"/>
  <c r="I44" i="5"/>
  <c r="H45" i="5" l="1"/>
  <c r="D45" i="5"/>
  <c r="E45" i="5" s="1"/>
  <c r="F47" i="4"/>
  <c r="C47" i="4"/>
  <c r="B47" i="4"/>
  <c r="H47" i="4" s="1"/>
  <c r="I46" i="4"/>
  <c r="I44" i="3"/>
  <c r="F45" i="3"/>
  <c r="C45" i="3"/>
  <c r="B45" i="3" s="1"/>
  <c r="H45" i="3" l="1"/>
  <c r="D45" i="3"/>
  <c r="E45" i="3" s="1"/>
  <c r="D47" i="4"/>
  <c r="E47" i="4" s="1"/>
  <c r="I45" i="5"/>
  <c r="F46" i="5"/>
  <c r="C46" i="5"/>
  <c r="B46" i="5" s="1"/>
  <c r="H46" i="5" l="1"/>
  <c r="D46" i="5"/>
  <c r="E46" i="5" s="1"/>
  <c r="F48" i="4"/>
  <c r="C48" i="4"/>
  <c r="B48" i="4" s="1"/>
  <c r="I47" i="4"/>
  <c r="F46" i="3"/>
  <c r="C46" i="3"/>
  <c r="B46" i="3" s="1"/>
  <c r="I45" i="3"/>
  <c r="H46" i="3" l="1"/>
  <c r="D46" i="3"/>
  <c r="E46" i="3" s="1"/>
  <c r="H48" i="4"/>
  <c r="D48" i="4"/>
  <c r="E48" i="4" s="1"/>
  <c r="F47" i="5"/>
  <c r="C47" i="5"/>
  <c r="B47" i="5" s="1"/>
  <c r="I46" i="5"/>
  <c r="H47" i="5" l="1"/>
  <c r="D47" i="5"/>
  <c r="E47" i="5" s="1"/>
  <c r="C47" i="3"/>
  <c r="F47" i="3"/>
  <c r="I46" i="3"/>
  <c r="B47" i="3"/>
  <c r="H47" i="3" s="1"/>
  <c r="C49" i="4"/>
  <c r="B49" i="4" s="1"/>
  <c r="I48" i="4"/>
  <c r="F49" i="4"/>
  <c r="H49" i="4" l="1"/>
  <c r="D49" i="4"/>
  <c r="E49" i="4" s="1"/>
  <c r="D47" i="3"/>
  <c r="E47" i="3" s="1"/>
  <c r="I47" i="5"/>
  <c r="C48" i="5"/>
  <c r="B48" i="5" s="1"/>
  <c r="F48" i="5"/>
  <c r="H48" i="5" l="1"/>
  <c r="D48" i="5"/>
  <c r="E48" i="5" s="1"/>
  <c r="C48" i="3"/>
  <c r="B48" i="3" s="1"/>
  <c r="I47" i="3"/>
  <c r="F48" i="3"/>
  <c r="F50" i="4"/>
  <c r="C50" i="4"/>
  <c r="B50" i="4" s="1"/>
  <c r="I49" i="4"/>
  <c r="H50" i="4" l="1"/>
  <c r="D50" i="4"/>
  <c r="E50" i="4" s="1"/>
  <c r="H48" i="3"/>
  <c r="D48" i="3"/>
  <c r="E48" i="3" s="1"/>
  <c r="F49" i="5"/>
  <c r="C49" i="5"/>
  <c r="B49" i="5" s="1"/>
  <c r="H49" i="5" s="1"/>
  <c r="I48" i="5"/>
  <c r="D49" i="5" l="1"/>
  <c r="E49" i="5" s="1"/>
  <c r="F49" i="3"/>
  <c r="C49" i="3"/>
  <c r="B49" i="3" s="1"/>
  <c r="H49" i="3" s="1"/>
  <c r="I48" i="3"/>
  <c r="I50" i="4"/>
  <c r="F51" i="4"/>
  <c r="C51" i="4"/>
  <c r="B51" i="4" s="1"/>
  <c r="D51" i="4" s="1"/>
  <c r="E51" i="4" s="1"/>
  <c r="F52" i="4" l="1"/>
  <c r="I51" i="4"/>
  <c r="C52" i="4"/>
  <c r="B52" i="4" s="1"/>
  <c r="H51" i="4"/>
  <c r="D49" i="3"/>
  <c r="E49" i="3" s="1"/>
  <c r="C50" i="5"/>
  <c r="B50" i="5" s="1"/>
  <c r="I49" i="5"/>
  <c r="F50" i="5"/>
  <c r="H50" i="5" l="1"/>
  <c r="H52" i="4"/>
  <c r="D52" i="4"/>
  <c r="E52" i="4" s="1"/>
  <c r="D50" i="5"/>
  <c r="E50" i="5" s="1"/>
  <c r="C50" i="3"/>
  <c r="B50" i="3" s="1"/>
  <c r="D50" i="3" s="1"/>
  <c r="E50" i="3" s="1"/>
  <c r="I49" i="3"/>
  <c r="F50" i="3"/>
  <c r="C51" i="5" l="1"/>
  <c r="F51" i="5"/>
  <c r="B51" i="5"/>
  <c r="H51" i="5" s="1"/>
  <c r="I50" i="5"/>
  <c r="F51" i="3"/>
  <c r="I50" i="3"/>
  <c r="C51" i="3"/>
  <c r="B51" i="3" s="1"/>
  <c r="H50" i="3"/>
  <c r="F53" i="4"/>
  <c r="C53" i="4"/>
  <c r="B53" i="4"/>
  <c r="H53" i="4" s="1"/>
  <c r="I52" i="4"/>
  <c r="H51" i="3" l="1"/>
  <c r="D51" i="3"/>
  <c r="E51" i="3" s="1"/>
  <c r="D51" i="5"/>
  <c r="E51" i="5" s="1"/>
  <c r="D53" i="4"/>
  <c r="E53" i="4" s="1"/>
  <c r="F54" i="4" l="1"/>
  <c r="C54" i="4"/>
  <c r="B54" i="4" s="1"/>
  <c r="I53" i="4"/>
  <c r="C52" i="5"/>
  <c r="B52" i="5"/>
  <c r="I51" i="5"/>
  <c r="F52" i="5"/>
  <c r="I51" i="3"/>
  <c r="F52" i="3"/>
  <c r="C52" i="3"/>
  <c r="B52" i="3" s="1"/>
  <c r="H52" i="3" l="1"/>
  <c r="H52" i="5"/>
  <c r="H54" i="4"/>
  <c r="D54" i="4"/>
  <c r="E54" i="4" s="1"/>
  <c r="D52" i="3"/>
  <c r="E52" i="3" s="1"/>
  <c r="D52" i="5"/>
  <c r="E52" i="5" s="1"/>
  <c r="C53" i="5" l="1"/>
  <c r="B53" i="5"/>
  <c r="H53" i="5" s="1"/>
  <c r="I52" i="5"/>
  <c r="F53" i="5"/>
  <c r="E53" i="5"/>
  <c r="D53" i="5"/>
  <c r="F53" i="3"/>
  <c r="C53" i="3"/>
  <c r="B53" i="3" s="1"/>
  <c r="H53" i="3" s="1"/>
  <c r="I52" i="3"/>
  <c r="C55" i="4"/>
  <c r="F55" i="4"/>
  <c r="B55" i="4"/>
  <c r="H55" i="4" s="1"/>
  <c r="I54" i="4"/>
  <c r="D53" i="3" l="1"/>
  <c r="E53" i="3" s="1"/>
  <c r="F54" i="5"/>
  <c r="E54" i="5"/>
  <c r="D54" i="5"/>
  <c r="C54" i="5"/>
  <c r="B54" i="5"/>
  <c r="H54" i="5" s="1"/>
  <c r="I53" i="5"/>
  <c r="D55" i="4"/>
  <c r="E55" i="4" s="1"/>
  <c r="C56" i="4" l="1"/>
  <c r="B56" i="4"/>
  <c r="D56" i="4" s="1"/>
  <c r="E56" i="4" s="1"/>
  <c r="F56" i="4"/>
  <c r="I55" i="4"/>
  <c r="I54" i="5"/>
  <c r="B55" i="5"/>
  <c r="H55" i="5" s="1"/>
  <c r="F55" i="5"/>
  <c r="E55" i="5"/>
  <c r="D55" i="5"/>
  <c r="C55" i="5"/>
  <c r="F54" i="3"/>
  <c r="C54" i="3"/>
  <c r="B54" i="3" s="1"/>
  <c r="I53" i="3"/>
  <c r="I56" i="4" l="1"/>
  <c r="F57" i="4"/>
  <c r="C57" i="4"/>
  <c r="B57" i="4" s="1"/>
  <c r="H54" i="3"/>
  <c r="D54" i="3"/>
  <c r="E54" i="3" s="1"/>
  <c r="F56" i="5"/>
  <c r="E56" i="5"/>
  <c r="D56" i="5"/>
  <c r="C56" i="5"/>
  <c r="B56" i="5"/>
  <c r="H56" i="5" s="1"/>
  <c r="I55" i="5"/>
  <c r="H56" i="4"/>
  <c r="H57" i="4" l="1"/>
  <c r="D57" i="4"/>
  <c r="E57" i="4" s="1"/>
  <c r="C55" i="3"/>
  <c r="B55" i="3" s="1"/>
  <c r="I54" i="3"/>
  <c r="F55" i="3"/>
  <c r="C57" i="5"/>
  <c r="B57" i="5"/>
  <c r="H57" i="5" s="1"/>
  <c r="I56" i="5"/>
  <c r="F57" i="5"/>
  <c r="E57" i="5"/>
  <c r="D57" i="5"/>
  <c r="H55" i="3" l="1"/>
  <c r="I57" i="4"/>
  <c r="F58" i="4"/>
  <c r="C58" i="4"/>
  <c r="B58" i="4" s="1"/>
  <c r="D55" i="3"/>
  <c r="E55" i="3" s="1"/>
  <c r="D58" i="5"/>
  <c r="C58" i="5"/>
  <c r="B58" i="5"/>
  <c r="H58" i="5" s="1"/>
  <c r="F58" i="5"/>
  <c r="E58" i="5"/>
  <c r="I57" i="5"/>
  <c r="H58" i="4" l="1"/>
  <c r="D58" i="4"/>
  <c r="E58" i="4" s="1"/>
  <c r="F56" i="3"/>
  <c r="C56" i="3"/>
  <c r="B56" i="3" s="1"/>
  <c r="I55" i="3"/>
  <c r="D59" i="5"/>
  <c r="C59" i="5"/>
  <c r="B59" i="5"/>
  <c r="H59" i="5" s="1"/>
  <c r="I58" i="5"/>
  <c r="F59" i="5"/>
  <c r="E59" i="5"/>
  <c r="H56" i="3" l="1"/>
  <c r="D56" i="3"/>
  <c r="E56" i="3" s="1"/>
  <c r="F59" i="4"/>
  <c r="C59" i="4"/>
  <c r="B59" i="4"/>
  <c r="H59" i="4" s="1"/>
  <c r="I58" i="4"/>
  <c r="B60" i="5"/>
  <c r="H60" i="5" s="1"/>
  <c r="I59" i="5"/>
  <c r="F60" i="5"/>
  <c r="E60" i="5"/>
  <c r="D60" i="5"/>
  <c r="C60" i="5"/>
  <c r="D59" i="4" l="1"/>
  <c r="E59" i="4" s="1"/>
  <c r="C60" i="4" s="1"/>
  <c r="F61" i="5"/>
  <c r="E61" i="5"/>
  <c r="D61" i="5"/>
  <c r="C61" i="5"/>
  <c r="B61" i="5"/>
  <c r="H61" i="5" s="1"/>
  <c r="I60" i="5"/>
  <c r="I56" i="3"/>
  <c r="C57" i="3"/>
  <c r="B57" i="3" s="1"/>
  <c r="F57" i="3"/>
  <c r="I59" i="4" l="1"/>
  <c r="B60" i="4"/>
  <c r="F60" i="4"/>
  <c r="H57" i="3"/>
  <c r="D57" i="3"/>
  <c r="E57" i="3" s="1"/>
  <c r="I61" i="5"/>
  <c r="F62" i="5"/>
  <c r="E62" i="5"/>
  <c r="D62" i="5"/>
  <c r="C62" i="5"/>
  <c r="B62" i="5"/>
  <c r="H62" i="5" s="1"/>
  <c r="D60" i="4"/>
  <c r="E60" i="4" s="1"/>
  <c r="H60" i="4" l="1"/>
  <c r="E63" i="5"/>
  <c r="D63" i="5"/>
  <c r="C63" i="5"/>
  <c r="F63" i="5"/>
  <c r="B63" i="5"/>
  <c r="H63" i="5" s="1"/>
  <c r="I62" i="5"/>
  <c r="C61" i="4"/>
  <c r="I60" i="4"/>
  <c r="F61" i="4"/>
  <c r="B61" i="4"/>
  <c r="H61" i="4" s="1"/>
  <c r="F58" i="3"/>
  <c r="C58" i="3"/>
  <c r="B58" i="3" s="1"/>
  <c r="I57" i="3"/>
  <c r="H58" i="3" l="1"/>
  <c r="D61" i="4"/>
  <c r="E61" i="4" s="1"/>
  <c r="D58" i="3"/>
  <c r="E58" i="3" s="1"/>
  <c r="B64" i="5"/>
  <c r="H64" i="5" s="1"/>
  <c r="I63" i="5"/>
  <c r="F64" i="5"/>
  <c r="E64" i="5"/>
  <c r="D64" i="5"/>
  <c r="C64" i="5"/>
  <c r="C65" i="5" l="1"/>
  <c r="B65" i="5"/>
  <c r="H65" i="5" s="1"/>
  <c r="I64" i="5"/>
  <c r="F65" i="5"/>
  <c r="E65" i="5"/>
  <c r="D65" i="5"/>
  <c r="F59" i="3"/>
  <c r="C59" i="3"/>
  <c r="B59" i="3" s="1"/>
  <c r="I58" i="3"/>
  <c r="F62" i="4"/>
  <c r="I61" i="4"/>
  <c r="C62" i="4"/>
  <c r="B62" i="4" s="1"/>
  <c r="H62" i="4" l="1"/>
  <c r="D62" i="4"/>
  <c r="E62" i="4" s="1"/>
  <c r="H59" i="3"/>
  <c r="D59" i="3"/>
  <c r="E59" i="3" s="1"/>
  <c r="F66" i="5"/>
  <c r="C66" i="5"/>
  <c r="B66" i="5"/>
  <c r="H66" i="5" s="1"/>
  <c r="I65" i="5"/>
  <c r="E66" i="5"/>
  <c r="D66" i="5"/>
  <c r="C60" i="3" l="1"/>
  <c r="B60" i="3" s="1"/>
  <c r="I59" i="3"/>
  <c r="F60" i="3"/>
  <c r="I66" i="5"/>
  <c r="F67" i="5"/>
  <c r="E67" i="5"/>
  <c r="D67" i="5"/>
  <c r="C67" i="5"/>
  <c r="B67" i="5"/>
  <c r="H67" i="5" s="1"/>
  <c r="I62" i="4"/>
  <c r="F63" i="4"/>
  <c r="C63" i="4"/>
  <c r="B63" i="4" s="1"/>
  <c r="H63" i="4" l="1"/>
  <c r="D63" i="4"/>
  <c r="E63" i="4" s="1"/>
  <c r="H60" i="3"/>
  <c r="F68" i="5"/>
  <c r="E68" i="5"/>
  <c r="D68" i="5"/>
  <c r="C68" i="5"/>
  <c r="B68" i="5"/>
  <c r="H68" i="5" s="1"/>
  <c r="I67" i="5"/>
  <c r="D60" i="3"/>
  <c r="E60" i="3" s="1"/>
  <c r="F61" i="3" l="1"/>
  <c r="C61" i="3"/>
  <c r="I60" i="3"/>
  <c r="B61" i="3"/>
  <c r="H61" i="3" s="1"/>
  <c r="F69" i="5"/>
  <c r="E69" i="5"/>
  <c r="D69" i="5"/>
  <c r="B69" i="5"/>
  <c r="H69" i="5" s="1"/>
  <c r="I68" i="5"/>
  <c r="C69" i="5"/>
  <c r="F64" i="4"/>
  <c r="C64" i="4"/>
  <c r="B64" i="4" s="1"/>
  <c r="H64" i="4" s="1"/>
  <c r="I63" i="4"/>
  <c r="D61" i="3" l="1"/>
  <c r="E61" i="3" s="1"/>
  <c r="D70" i="5"/>
  <c r="C70" i="5"/>
  <c r="B70" i="5"/>
  <c r="H70" i="5" s="1"/>
  <c r="F70" i="5"/>
  <c r="E70" i="5"/>
  <c r="I69" i="5"/>
  <c r="D64" i="4"/>
  <c r="E64" i="4" s="1"/>
  <c r="F65" i="4" l="1"/>
  <c r="C65" i="4"/>
  <c r="B65" i="4"/>
  <c r="H65" i="4" s="1"/>
  <c r="I64" i="4"/>
  <c r="I70" i="5"/>
  <c r="F71" i="5"/>
  <c r="E71" i="5"/>
  <c r="D71" i="5"/>
  <c r="C71" i="5"/>
  <c r="B71" i="5"/>
  <c r="H71" i="5" s="1"/>
  <c r="C62" i="3"/>
  <c r="B62" i="3" s="1"/>
  <c r="D62" i="3" s="1"/>
  <c r="E62" i="3" s="1"/>
  <c r="I61" i="3"/>
  <c r="F62" i="3"/>
  <c r="B72" i="5" l="1"/>
  <c r="H72" i="5" s="1"/>
  <c r="I71" i="5"/>
  <c r="F72" i="5"/>
  <c r="E72" i="5"/>
  <c r="D72" i="5"/>
  <c r="C72" i="5"/>
  <c r="F63" i="3"/>
  <c r="I62" i="3"/>
  <c r="C63" i="3"/>
  <c r="B63" i="3" s="1"/>
  <c r="H62" i="3"/>
  <c r="D65" i="4"/>
  <c r="E65" i="4" s="1"/>
  <c r="H63" i="3" l="1"/>
  <c r="D63" i="3"/>
  <c r="E63" i="3" s="1"/>
  <c r="F73" i="5"/>
  <c r="E73" i="5"/>
  <c r="B73" i="5"/>
  <c r="H73" i="5" s="1"/>
  <c r="I72" i="5"/>
  <c r="D73" i="5"/>
  <c r="C73" i="5"/>
  <c r="F66" i="4"/>
  <c r="C66" i="4"/>
  <c r="B66" i="4" s="1"/>
  <c r="H66" i="4" s="1"/>
  <c r="I65" i="4"/>
  <c r="D74" i="5" l="1"/>
  <c r="F74" i="5"/>
  <c r="E74" i="5"/>
  <c r="C74" i="5"/>
  <c r="B74" i="5"/>
  <c r="H74" i="5" s="1"/>
  <c r="I73" i="5"/>
  <c r="D66" i="4"/>
  <c r="E66" i="4" s="1"/>
  <c r="I63" i="3"/>
  <c r="F64" i="3"/>
  <c r="C64" i="3"/>
  <c r="B64" i="3" s="1"/>
  <c r="H64" i="3" s="1"/>
  <c r="C67" i="4" l="1"/>
  <c r="B67" i="4" s="1"/>
  <c r="F67" i="4"/>
  <c r="I66" i="4"/>
  <c r="F75" i="5"/>
  <c r="E75" i="5"/>
  <c r="D75" i="5"/>
  <c r="C75" i="5"/>
  <c r="B75" i="5"/>
  <c r="H75" i="5" s="1"/>
  <c r="I74" i="5"/>
  <c r="D64" i="3"/>
  <c r="E64" i="3" s="1"/>
  <c r="H67" i="4" l="1"/>
  <c r="D67" i="4"/>
  <c r="E67" i="4" s="1"/>
  <c r="C68" i="4"/>
  <c r="B68" i="4" s="1"/>
  <c r="D68" i="4" s="1"/>
  <c r="E68" i="4" s="1"/>
  <c r="I67" i="4"/>
  <c r="F68" i="4"/>
  <c r="B76" i="5"/>
  <c r="H76" i="5" s="1"/>
  <c r="F76" i="5"/>
  <c r="E76" i="5"/>
  <c r="D76" i="5"/>
  <c r="C76" i="5"/>
  <c r="I75" i="5"/>
  <c r="F65" i="3"/>
  <c r="C65" i="3"/>
  <c r="B65" i="3"/>
  <c r="I64" i="3"/>
  <c r="H65" i="3" l="1"/>
  <c r="I68" i="4"/>
  <c r="F69" i="4"/>
  <c r="C69" i="4"/>
  <c r="B69" i="4" s="1"/>
  <c r="H69" i="4" s="1"/>
  <c r="E77" i="5"/>
  <c r="D77" i="5"/>
  <c r="C77" i="5"/>
  <c r="F77" i="5"/>
  <c r="B77" i="5"/>
  <c r="H77" i="5" s="1"/>
  <c r="I76" i="5"/>
  <c r="D65" i="3"/>
  <c r="E65" i="3" s="1"/>
  <c r="H68" i="4"/>
  <c r="C78" i="5" l="1"/>
  <c r="B78" i="5"/>
  <c r="H78" i="5" s="1"/>
  <c r="I77" i="5"/>
  <c r="E78" i="5"/>
  <c r="D78" i="5"/>
  <c r="F78" i="5"/>
  <c r="D69" i="4"/>
  <c r="E69" i="4" s="1"/>
  <c r="F66" i="3"/>
  <c r="C66" i="3"/>
  <c r="B66" i="3" s="1"/>
  <c r="I65" i="3"/>
  <c r="H66" i="3" l="1"/>
  <c r="D66" i="3"/>
  <c r="E66" i="3" s="1"/>
  <c r="I69" i="4"/>
  <c r="F70" i="4"/>
  <c r="C70" i="4"/>
  <c r="B70" i="4" s="1"/>
  <c r="E79" i="5"/>
  <c r="D79" i="5"/>
  <c r="C79" i="5"/>
  <c r="B79" i="5"/>
  <c r="H79" i="5" s="1"/>
  <c r="F79" i="5"/>
  <c r="I78" i="5"/>
  <c r="H70" i="4" l="1"/>
  <c r="D70" i="4"/>
  <c r="E70" i="4" s="1"/>
  <c r="E80" i="5"/>
  <c r="D80" i="5"/>
  <c r="C80" i="5"/>
  <c r="B80" i="5"/>
  <c r="H80" i="5" s="1"/>
  <c r="I79" i="5"/>
  <c r="F80" i="5"/>
  <c r="C67" i="3"/>
  <c r="B67" i="3" s="1"/>
  <c r="I66" i="3"/>
  <c r="F67" i="3"/>
  <c r="H67" i="3" l="1"/>
  <c r="D67" i="3"/>
  <c r="E67" i="3" s="1"/>
  <c r="C81" i="5"/>
  <c r="D81" i="5"/>
  <c r="B81" i="5"/>
  <c r="H81" i="5" s="1"/>
  <c r="I80" i="5"/>
  <c r="F81" i="5"/>
  <c r="E81" i="5"/>
  <c r="F71" i="4"/>
  <c r="C71" i="4"/>
  <c r="B71" i="4" s="1"/>
  <c r="I70" i="4"/>
  <c r="H71" i="4" l="1"/>
  <c r="D71" i="4"/>
  <c r="E71" i="4" s="1"/>
  <c r="F68" i="3"/>
  <c r="C68" i="3"/>
  <c r="B68" i="3" s="1"/>
  <c r="I67" i="3"/>
  <c r="F82" i="5"/>
  <c r="E82" i="5"/>
  <c r="D82" i="5"/>
  <c r="C82" i="5"/>
  <c r="B82" i="5"/>
  <c r="H82" i="5" s="1"/>
  <c r="I81" i="5"/>
  <c r="H68" i="3" l="1"/>
  <c r="D68" i="3"/>
  <c r="E68" i="3" s="1"/>
  <c r="C72" i="4"/>
  <c r="F72" i="4"/>
  <c r="B72" i="4"/>
  <c r="H72" i="4" s="1"/>
  <c r="I71" i="4"/>
  <c r="I82" i="5"/>
  <c r="C83" i="5"/>
  <c r="B83" i="5"/>
  <c r="H83" i="5" s="1"/>
  <c r="D83" i="5"/>
  <c r="F83" i="5"/>
  <c r="E83" i="5"/>
  <c r="I68" i="3" l="1"/>
  <c r="F69" i="3"/>
  <c r="C69" i="3"/>
  <c r="B69" i="3" s="1"/>
  <c r="D72" i="4"/>
  <c r="E72" i="4" s="1"/>
  <c r="F84" i="5"/>
  <c r="E84" i="5"/>
  <c r="D84" i="5"/>
  <c r="C84" i="5"/>
  <c r="B84" i="5"/>
  <c r="H84" i="5" s="1"/>
  <c r="I83" i="5"/>
  <c r="H69" i="3" l="1"/>
  <c r="D69" i="3"/>
  <c r="E69" i="3" s="1"/>
  <c r="C73" i="4"/>
  <c r="I72" i="4"/>
  <c r="F73" i="4"/>
  <c r="B73" i="4"/>
  <c r="H73" i="4" s="1"/>
  <c r="B85" i="5"/>
  <c r="H85" i="5" s="1"/>
  <c r="I84" i="5"/>
  <c r="F85" i="5"/>
  <c r="E85" i="5"/>
  <c r="D85" i="5"/>
  <c r="C85" i="5"/>
  <c r="D86" i="5" l="1"/>
  <c r="F86" i="5"/>
  <c r="E86" i="5"/>
  <c r="C86" i="5"/>
  <c r="B86" i="5"/>
  <c r="H86" i="5" s="1"/>
  <c r="I85" i="5"/>
  <c r="D73" i="4"/>
  <c r="E73" i="4" s="1"/>
  <c r="F70" i="3"/>
  <c r="C70" i="3"/>
  <c r="B70" i="3" s="1"/>
  <c r="H70" i="3" s="1"/>
  <c r="I69" i="3"/>
  <c r="I86" i="5" l="1"/>
  <c r="F87" i="5"/>
  <c r="E87" i="5"/>
  <c r="D87" i="5"/>
  <c r="C87" i="5"/>
  <c r="B87" i="5"/>
  <c r="H87" i="5" s="1"/>
  <c r="D70" i="3"/>
  <c r="E70" i="3" s="1"/>
  <c r="F74" i="4"/>
  <c r="I73" i="4"/>
  <c r="C74" i="4"/>
  <c r="B74" i="4" s="1"/>
  <c r="H74" i="4" l="1"/>
  <c r="D74" i="4"/>
  <c r="E74" i="4" s="1"/>
  <c r="I70" i="3"/>
  <c r="F71" i="3"/>
  <c r="C71" i="3"/>
  <c r="B71" i="3" s="1"/>
  <c r="B88" i="5"/>
  <c r="H88" i="5" s="1"/>
  <c r="F88" i="5"/>
  <c r="E88" i="5"/>
  <c r="I87" i="5"/>
  <c r="D88" i="5"/>
  <c r="C88" i="5"/>
  <c r="H71" i="3" l="1"/>
  <c r="D71" i="3"/>
  <c r="E71" i="3" s="1"/>
  <c r="F89" i="5"/>
  <c r="E89" i="5"/>
  <c r="D89" i="5"/>
  <c r="C89" i="5"/>
  <c r="B89" i="5"/>
  <c r="H89" i="5" s="1"/>
  <c r="I88" i="5"/>
  <c r="I74" i="4"/>
  <c r="F75" i="4"/>
  <c r="C75" i="4"/>
  <c r="B75" i="4" s="1"/>
  <c r="H75" i="4" l="1"/>
  <c r="F90" i="5"/>
  <c r="E90" i="5"/>
  <c r="D90" i="5"/>
  <c r="C90" i="5"/>
  <c r="B90" i="5"/>
  <c r="H90" i="5" s="1"/>
  <c r="I89" i="5"/>
  <c r="C72" i="3"/>
  <c r="B72" i="3" s="1"/>
  <c r="I71" i="3"/>
  <c r="F72" i="3"/>
  <c r="D75" i="4"/>
  <c r="E75" i="4" s="1"/>
  <c r="H72" i="3" l="1"/>
  <c r="D72" i="3"/>
  <c r="E72" i="3" s="1"/>
  <c r="E91" i="5"/>
  <c r="F91" i="5"/>
  <c r="D91" i="5"/>
  <c r="C91" i="5"/>
  <c r="I90" i="5"/>
  <c r="B91" i="5"/>
  <c r="H91" i="5" s="1"/>
  <c r="F76" i="4"/>
  <c r="C76" i="4"/>
  <c r="B76" i="4" s="1"/>
  <c r="I75" i="4"/>
  <c r="H76" i="4" l="1"/>
  <c r="D76" i="4"/>
  <c r="E76" i="4" s="1"/>
  <c r="E92" i="5"/>
  <c r="D92" i="5"/>
  <c r="C92" i="5"/>
  <c r="F92" i="5"/>
  <c r="B92" i="5"/>
  <c r="H92" i="5" s="1"/>
  <c r="I91" i="5"/>
  <c r="F73" i="3"/>
  <c r="C73" i="3"/>
  <c r="B73" i="3" s="1"/>
  <c r="I72" i="3"/>
  <c r="H73" i="3" l="1"/>
  <c r="D73" i="3"/>
  <c r="E73" i="3" s="1"/>
  <c r="C77" i="4"/>
  <c r="B77" i="4"/>
  <c r="I76" i="4"/>
  <c r="F77" i="4"/>
  <c r="C93" i="5"/>
  <c r="B93" i="5"/>
  <c r="H93" i="5" s="1"/>
  <c r="I92" i="5"/>
  <c r="F93" i="5"/>
  <c r="E93" i="5"/>
  <c r="D93" i="5"/>
  <c r="H77" i="4" l="1"/>
  <c r="D77" i="4"/>
  <c r="E77" i="4" s="1"/>
  <c r="C74" i="3"/>
  <c r="B74" i="3" s="1"/>
  <c r="D74" i="3" s="1"/>
  <c r="E74" i="3" s="1"/>
  <c r="I73" i="3"/>
  <c r="F74" i="3"/>
  <c r="D94" i="5"/>
  <c r="C94" i="5"/>
  <c r="B94" i="5"/>
  <c r="H94" i="5" s="1"/>
  <c r="F94" i="5"/>
  <c r="E94" i="5"/>
  <c r="I93" i="5"/>
  <c r="F75" i="3" l="1"/>
  <c r="I74" i="3"/>
  <c r="C75" i="3"/>
  <c r="B75" i="3" s="1"/>
  <c r="H74" i="3"/>
  <c r="F78" i="4"/>
  <c r="C78" i="4"/>
  <c r="B78" i="4" s="1"/>
  <c r="H78" i="4" s="1"/>
  <c r="I77" i="4"/>
  <c r="I94" i="5"/>
  <c r="E95" i="5"/>
  <c r="D95" i="5"/>
  <c r="C95" i="5"/>
  <c r="B95" i="5"/>
  <c r="H95" i="5" s="1"/>
  <c r="F95" i="5"/>
  <c r="H75" i="3" l="1"/>
  <c r="D75" i="3"/>
  <c r="E75" i="3" s="1"/>
  <c r="F96" i="5"/>
  <c r="C96" i="5"/>
  <c r="B96" i="5"/>
  <c r="H96" i="5" s="1"/>
  <c r="I95" i="5"/>
  <c r="E96" i="5"/>
  <c r="D96" i="5"/>
  <c r="D78" i="4"/>
  <c r="E78" i="4" s="1"/>
  <c r="C79" i="4" l="1"/>
  <c r="B79" i="4" s="1"/>
  <c r="D79" i="4" s="1"/>
  <c r="E79" i="4" s="1"/>
  <c r="F79" i="4"/>
  <c r="I78" i="4"/>
  <c r="F97" i="5"/>
  <c r="E97" i="5"/>
  <c r="D97" i="5"/>
  <c r="C97" i="5"/>
  <c r="B97" i="5"/>
  <c r="H97" i="5" s="1"/>
  <c r="I96" i="5"/>
  <c r="I75" i="3"/>
  <c r="F76" i="3"/>
  <c r="C76" i="3"/>
  <c r="B76" i="3" s="1"/>
  <c r="H76" i="3" s="1"/>
  <c r="C80" i="4" l="1"/>
  <c r="B80" i="4" s="1"/>
  <c r="I79" i="4"/>
  <c r="F80" i="4"/>
  <c r="D98" i="5"/>
  <c r="B98" i="5"/>
  <c r="H98" i="5" s="1"/>
  <c r="I97" i="5"/>
  <c r="C98" i="5"/>
  <c r="F98" i="5"/>
  <c r="E98" i="5"/>
  <c r="D76" i="3"/>
  <c r="E76" i="3" s="1"/>
  <c r="H79" i="4"/>
  <c r="H80" i="4" l="1"/>
  <c r="D80" i="4"/>
  <c r="E80" i="4" s="1"/>
  <c r="F99" i="5"/>
  <c r="E99" i="5"/>
  <c r="D99" i="5"/>
  <c r="C99" i="5"/>
  <c r="B99" i="5"/>
  <c r="H99" i="5" s="1"/>
  <c r="I98" i="5"/>
  <c r="F77" i="3"/>
  <c r="C77" i="3"/>
  <c r="B77" i="3" s="1"/>
  <c r="I76" i="3"/>
  <c r="H77" i="3" l="1"/>
  <c r="D77" i="3"/>
  <c r="E77" i="3" s="1"/>
  <c r="I77" i="3" s="1"/>
  <c r="I80" i="4"/>
  <c r="F81" i="4"/>
  <c r="C81" i="4"/>
  <c r="B81" i="4" s="1"/>
  <c r="B100" i="5"/>
  <c r="H100" i="5" s="1"/>
  <c r="I99" i="5"/>
  <c r="F100" i="5"/>
  <c r="E100" i="5"/>
  <c r="D100" i="5"/>
  <c r="C100" i="5"/>
  <c r="F78" i="3" l="1"/>
  <c r="C78" i="3"/>
  <c r="B78" i="3" s="1"/>
  <c r="H78" i="3" s="1"/>
  <c r="H81" i="4"/>
  <c r="D81" i="4"/>
  <c r="E81" i="4" s="1"/>
  <c r="F101" i="5"/>
  <c r="E101" i="5"/>
  <c r="D101" i="5"/>
  <c r="C101" i="5"/>
  <c r="B101" i="5"/>
  <c r="H101" i="5" s="1"/>
  <c r="I100" i="5"/>
  <c r="D78" i="3" l="1"/>
  <c r="E78" i="3" s="1"/>
  <c r="I78" i="3"/>
  <c r="C79" i="3"/>
  <c r="B79" i="3" s="1"/>
  <c r="F79" i="3"/>
  <c r="I101" i="5"/>
  <c r="F102" i="5"/>
  <c r="E102" i="5"/>
  <c r="D102" i="5"/>
  <c r="C102" i="5"/>
  <c r="B102" i="5"/>
  <c r="H102" i="5" s="1"/>
  <c r="I81" i="4"/>
  <c r="F82" i="4"/>
  <c r="C82" i="4"/>
  <c r="B82" i="4" s="1"/>
  <c r="D79" i="3" l="1"/>
  <c r="E79" i="3" s="1"/>
  <c r="C80" i="3" s="1"/>
  <c r="B80" i="3" s="1"/>
  <c r="H79" i="3"/>
  <c r="H82" i="4"/>
  <c r="D82" i="4"/>
  <c r="E82" i="4" s="1"/>
  <c r="E103" i="5"/>
  <c r="F103" i="5"/>
  <c r="D103" i="5"/>
  <c r="I102" i="5"/>
  <c r="C103" i="5"/>
  <c r="B103" i="5"/>
  <c r="H103" i="5" s="1"/>
  <c r="F80" i="3" l="1"/>
  <c r="I79" i="3"/>
  <c r="H80" i="3"/>
  <c r="D80" i="3"/>
  <c r="E80" i="3" s="1"/>
  <c r="F83" i="4"/>
  <c r="C83" i="4"/>
  <c r="B83" i="4" s="1"/>
  <c r="I82" i="4"/>
  <c r="F104" i="5"/>
  <c r="E104" i="5"/>
  <c r="D104" i="5"/>
  <c r="C104" i="5"/>
  <c r="B104" i="5"/>
  <c r="H104" i="5" s="1"/>
  <c r="I103" i="5"/>
  <c r="F81" i="3" l="1"/>
  <c r="C81" i="3"/>
  <c r="B81" i="3" s="1"/>
  <c r="I80" i="3"/>
  <c r="H83" i="4"/>
  <c r="D83" i="4"/>
  <c r="E83" i="4" s="1"/>
  <c r="C105" i="5"/>
  <c r="F105" i="5"/>
  <c r="E105" i="5"/>
  <c r="D105" i="5"/>
  <c r="B105" i="5"/>
  <c r="H105" i="5" s="1"/>
  <c r="I104" i="5"/>
  <c r="H81" i="3" l="1"/>
  <c r="D81" i="3"/>
  <c r="E81" i="3" s="1"/>
  <c r="C84" i="4"/>
  <c r="B84" i="4" s="1"/>
  <c r="H84" i="4" s="1"/>
  <c r="F84" i="4"/>
  <c r="I83" i="4"/>
  <c r="F106" i="5"/>
  <c r="E106" i="5"/>
  <c r="D106" i="5"/>
  <c r="C106" i="5"/>
  <c r="B106" i="5"/>
  <c r="H106" i="5" s="1"/>
  <c r="I105" i="5"/>
  <c r="F82" i="3" l="1"/>
  <c r="I81" i="3"/>
  <c r="C82" i="3"/>
  <c r="B82" i="3" s="1"/>
  <c r="I106" i="5"/>
  <c r="E107" i="5"/>
  <c r="D107" i="5"/>
  <c r="C107" i="5"/>
  <c r="F107" i="5"/>
  <c r="B107" i="5"/>
  <c r="H107" i="5" s="1"/>
  <c r="D84" i="4"/>
  <c r="E84" i="4" s="1"/>
  <c r="H82" i="3" l="1"/>
  <c r="D82" i="3"/>
  <c r="E82" i="3" s="1"/>
  <c r="F108" i="5"/>
  <c r="B108" i="5"/>
  <c r="H108" i="5" s="1"/>
  <c r="I107" i="5"/>
  <c r="D108" i="5"/>
  <c r="C108" i="5"/>
  <c r="E108" i="5"/>
  <c r="C85" i="4"/>
  <c r="B85" i="4" s="1"/>
  <c r="H85" i="4" s="1"/>
  <c r="I84" i="4"/>
  <c r="F85" i="4"/>
  <c r="I82" i="3" l="1"/>
  <c r="F83" i="3"/>
  <c r="C83" i="3"/>
  <c r="B83" i="3" s="1"/>
  <c r="D109" i="5"/>
  <c r="C109" i="5"/>
  <c r="B109" i="5"/>
  <c r="H109" i="5" s="1"/>
  <c r="F109" i="5"/>
  <c r="E109" i="5"/>
  <c r="I108" i="5"/>
  <c r="D85" i="4"/>
  <c r="E85" i="4" s="1"/>
  <c r="H83" i="3" l="1"/>
  <c r="D83" i="3"/>
  <c r="E83" i="3" s="1"/>
  <c r="D110" i="5"/>
  <c r="E110" i="5"/>
  <c r="F110" i="5"/>
  <c r="C110" i="5"/>
  <c r="B110" i="5"/>
  <c r="H110" i="5" s="1"/>
  <c r="I109" i="5"/>
  <c r="F86" i="4"/>
  <c r="I85" i="4"/>
  <c r="C86" i="4"/>
  <c r="B86" i="4" s="1"/>
  <c r="C84" i="3" l="1"/>
  <c r="I83" i="3"/>
  <c r="B84" i="3"/>
  <c r="F84" i="3"/>
  <c r="H86" i="4"/>
  <c r="D86" i="4"/>
  <c r="E86" i="4" s="1"/>
  <c r="C111" i="5"/>
  <c r="B111" i="5"/>
  <c r="H111" i="5" s="1"/>
  <c r="I110" i="5"/>
  <c r="F111" i="5"/>
  <c r="E111" i="5"/>
  <c r="D111" i="5"/>
  <c r="H84" i="3" l="1"/>
  <c r="D84" i="3"/>
  <c r="E84" i="3" s="1"/>
  <c r="I86" i="4"/>
  <c r="F87" i="4"/>
  <c r="C87" i="4"/>
  <c r="B87" i="4" s="1"/>
  <c r="B112" i="5"/>
  <c r="H112" i="5" s="1"/>
  <c r="I111" i="5"/>
  <c r="E112" i="5"/>
  <c r="F112" i="5"/>
  <c r="D112" i="5"/>
  <c r="C112" i="5"/>
  <c r="F85" i="3" l="1"/>
  <c r="C85" i="3"/>
  <c r="B85" i="3" s="1"/>
  <c r="I84" i="3"/>
  <c r="H87" i="4"/>
  <c r="D87" i="4"/>
  <c r="E87" i="4" s="1"/>
  <c r="F113" i="5"/>
  <c r="C113" i="5"/>
  <c r="B113" i="5"/>
  <c r="H113" i="5" s="1"/>
  <c r="I112" i="5"/>
  <c r="E113" i="5"/>
  <c r="D113" i="5"/>
  <c r="H85" i="3" l="1"/>
  <c r="D85" i="3"/>
  <c r="E85" i="3" s="1"/>
  <c r="F88" i="4"/>
  <c r="C88" i="4"/>
  <c r="B88" i="4" s="1"/>
  <c r="I87" i="4"/>
  <c r="E114" i="5"/>
  <c r="I113" i="5"/>
  <c r="F114" i="5"/>
  <c r="D114" i="5"/>
  <c r="C114" i="5"/>
  <c r="B114" i="5"/>
  <c r="H114" i="5" s="1"/>
  <c r="F86" i="3" l="1"/>
  <c r="C86" i="3"/>
  <c r="B86" i="3" s="1"/>
  <c r="H86" i="3" s="1"/>
  <c r="I85" i="3"/>
  <c r="H88" i="4"/>
  <c r="D88" i="4"/>
  <c r="E88" i="4" s="1"/>
  <c r="E115" i="5"/>
  <c r="D115" i="5"/>
  <c r="C115" i="5"/>
  <c r="B115" i="5"/>
  <c r="H115" i="5" s="1"/>
  <c r="I114" i="5"/>
  <c r="F115" i="5"/>
  <c r="D86" i="3" l="1"/>
  <c r="E86" i="3" s="1"/>
  <c r="E116" i="5"/>
  <c r="F116" i="5"/>
  <c r="D116" i="5"/>
  <c r="C116" i="5"/>
  <c r="B116" i="5"/>
  <c r="H116" i="5" s="1"/>
  <c r="I115" i="5"/>
  <c r="I88" i="4"/>
  <c r="F89" i="4"/>
  <c r="C89" i="4"/>
  <c r="B89" i="4" s="1"/>
  <c r="C87" i="3" l="1"/>
  <c r="B87" i="3" s="1"/>
  <c r="I86" i="3"/>
  <c r="F87" i="3"/>
  <c r="H89" i="4"/>
  <c r="D89" i="4"/>
  <c r="E89" i="4" s="1"/>
  <c r="C117" i="5"/>
  <c r="B117" i="5"/>
  <c r="H117" i="5" s="1"/>
  <c r="E117" i="5"/>
  <c r="D117" i="5"/>
  <c r="I116" i="5"/>
  <c r="F117" i="5"/>
  <c r="H87" i="3" l="1"/>
  <c r="D87" i="3"/>
  <c r="E87" i="3" s="1"/>
  <c r="F90" i="4"/>
  <c r="C90" i="4"/>
  <c r="B90" i="4" s="1"/>
  <c r="I89" i="4"/>
  <c r="E118" i="5"/>
  <c r="F118" i="5"/>
  <c r="D118" i="5"/>
  <c r="C118" i="5"/>
  <c r="B118" i="5"/>
  <c r="H118" i="5" s="1"/>
  <c r="I117" i="5"/>
  <c r="C88" i="3" l="1"/>
  <c r="F88" i="3"/>
  <c r="B88" i="3"/>
  <c r="I87" i="3"/>
  <c r="H90" i="4"/>
  <c r="D90" i="4"/>
  <c r="E90" i="4" s="1"/>
  <c r="I118" i="5"/>
  <c r="E119" i="5"/>
  <c r="D119" i="5"/>
  <c r="C119" i="5"/>
  <c r="F119" i="5"/>
  <c r="B119" i="5"/>
  <c r="H119" i="5" s="1"/>
  <c r="H88" i="3" l="1"/>
  <c r="D88" i="3"/>
  <c r="E88" i="3" s="1"/>
  <c r="C91" i="4"/>
  <c r="B91" i="4" s="1"/>
  <c r="F91" i="4"/>
  <c r="I90" i="4"/>
  <c r="F120" i="5"/>
  <c r="E120" i="5"/>
  <c r="D120" i="5"/>
  <c r="I119" i="5"/>
  <c r="C120" i="5"/>
  <c r="B120" i="5"/>
  <c r="H120" i="5" s="1"/>
  <c r="F89" i="3" l="1"/>
  <c r="I88" i="3"/>
  <c r="C89" i="3"/>
  <c r="B89" i="3" s="1"/>
  <c r="H91" i="4"/>
  <c r="D91" i="4"/>
  <c r="E91" i="4" s="1"/>
  <c r="E121" i="5"/>
  <c r="D121" i="5"/>
  <c r="C121" i="5"/>
  <c r="F121" i="5"/>
  <c r="B121" i="5"/>
  <c r="H121" i="5" s="1"/>
  <c r="I120" i="5"/>
  <c r="H89" i="3" l="1"/>
  <c r="D89" i="3"/>
  <c r="E89" i="3" s="1"/>
  <c r="C92" i="4"/>
  <c r="B92" i="4" s="1"/>
  <c r="I91" i="4"/>
  <c r="F92" i="4"/>
  <c r="D122" i="5"/>
  <c r="C122" i="5"/>
  <c r="F122" i="5"/>
  <c r="E122" i="5"/>
  <c r="B122" i="5"/>
  <c r="H122" i="5" s="1"/>
  <c r="I121" i="5"/>
  <c r="F90" i="3" l="1"/>
  <c r="C90" i="3"/>
  <c r="B90" i="3" s="1"/>
  <c r="I89" i="3"/>
  <c r="H92" i="4"/>
  <c r="D92" i="4"/>
  <c r="E92" i="4" s="1"/>
  <c r="E123" i="5"/>
  <c r="D123" i="5"/>
  <c r="C123" i="5"/>
  <c r="F123" i="5"/>
  <c r="B123" i="5"/>
  <c r="H123" i="5" s="1"/>
  <c r="I122" i="5"/>
  <c r="H90" i="3" l="1"/>
  <c r="D90" i="3"/>
  <c r="E90" i="3" s="1"/>
  <c r="I92" i="4"/>
  <c r="F93" i="4"/>
  <c r="C93" i="4"/>
  <c r="B93" i="4" s="1"/>
  <c r="B124" i="5"/>
  <c r="H124" i="5" s="1"/>
  <c r="I123" i="5"/>
  <c r="F124" i="5"/>
  <c r="E124" i="5"/>
  <c r="D124" i="5"/>
  <c r="C124" i="5"/>
  <c r="F91" i="3" l="1"/>
  <c r="C91" i="3"/>
  <c r="B91" i="3" s="1"/>
  <c r="I90" i="3"/>
  <c r="H93" i="4"/>
  <c r="D93" i="4"/>
  <c r="E93" i="4" s="1"/>
  <c r="F125" i="5"/>
  <c r="E125" i="5"/>
  <c r="D125" i="5"/>
  <c r="C125" i="5"/>
  <c r="B125" i="5"/>
  <c r="H125" i="5" s="1"/>
  <c r="I124" i="5"/>
  <c r="H91" i="3" l="1"/>
  <c r="D91" i="3"/>
  <c r="E91" i="3" s="1"/>
  <c r="C92" i="3" s="1"/>
  <c r="B92" i="3" s="1"/>
  <c r="F92" i="3"/>
  <c r="F126" i="5"/>
  <c r="E126" i="5"/>
  <c r="D126" i="5"/>
  <c r="C126" i="5"/>
  <c r="B126" i="5"/>
  <c r="H126" i="5" s="1"/>
  <c r="I125" i="5"/>
  <c r="I93" i="4"/>
  <c r="F94" i="4"/>
  <c r="C94" i="4"/>
  <c r="B94" i="4" s="1"/>
  <c r="I91" i="3" l="1"/>
  <c r="H92" i="3"/>
  <c r="D92" i="3"/>
  <c r="E92" i="3" s="1"/>
  <c r="I92" i="3" s="1"/>
  <c r="C93" i="3"/>
  <c r="B93" i="3" s="1"/>
  <c r="H94" i="4"/>
  <c r="D94" i="4"/>
  <c r="E94" i="4" s="1"/>
  <c r="E127" i="5"/>
  <c r="D127" i="5"/>
  <c r="F127" i="5"/>
  <c r="C127" i="5"/>
  <c r="I126" i="5"/>
  <c r="B127" i="5"/>
  <c r="H127" i="5" s="1"/>
  <c r="F93" i="3" l="1"/>
  <c r="H93" i="3" s="1"/>
  <c r="D93" i="3"/>
  <c r="E93" i="3" s="1"/>
  <c r="F128" i="5"/>
  <c r="E128" i="5"/>
  <c r="D128" i="5"/>
  <c r="C128" i="5"/>
  <c r="B128" i="5"/>
  <c r="H128" i="5" s="1"/>
  <c r="I127" i="5"/>
  <c r="F95" i="4"/>
  <c r="I94" i="4"/>
  <c r="C95" i="4"/>
  <c r="B95" i="4" s="1"/>
  <c r="I93" i="3" l="1"/>
  <c r="F94" i="3"/>
  <c r="C94" i="3"/>
  <c r="B94" i="3" s="1"/>
  <c r="H94" i="3" s="1"/>
  <c r="H95" i="4"/>
  <c r="D95" i="4"/>
  <c r="E95" i="4" s="1"/>
  <c r="C129" i="5"/>
  <c r="B129" i="5"/>
  <c r="H129" i="5" s="1"/>
  <c r="F129" i="5"/>
  <c r="E129" i="5"/>
  <c r="D129" i="5"/>
  <c r="I128" i="5"/>
  <c r="D94" i="3" l="1"/>
  <c r="E94" i="3" s="1"/>
  <c r="F130" i="5"/>
  <c r="E130" i="5"/>
  <c r="D130" i="5"/>
  <c r="C130" i="5"/>
  <c r="B130" i="5"/>
  <c r="H130" i="5" s="1"/>
  <c r="I129" i="5"/>
  <c r="I95" i="4"/>
  <c r="F96" i="4"/>
  <c r="C96" i="4"/>
  <c r="B96" i="4"/>
  <c r="H96" i="4" s="1"/>
  <c r="C95" i="3" l="1"/>
  <c r="F95" i="3"/>
  <c r="I94" i="3"/>
  <c r="B95" i="3"/>
  <c r="H95" i="3" s="1"/>
  <c r="I130" i="5"/>
  <c r="F131" i="5"/>
  <c r="E131" i="5"/>
  <c r="D131" i="5"/>
  <c r="B131" i="5"/>
  <c r="H131" i="5" s="1"/>
  <c r="C131" i="5"/>
  <c r="D96" i="4"/>
  <c r="E96" i="4" s="1"/>
  <c r="D95" i="3" l="1"/>
  <c r="E95" i="3" s="1"/>
  <c r="F97" i="4"/>
  <c r="C97" i="4"/>
  <c r="B97" i="4" s="1"/>
  <c r="I96" i="4"/>
  <c r="F132" i="5"/>
  <c r="E132" i="5"/>
  <c r="D132" i="5"/>
  <c r="C132" i="5"/>
  <c r="B132" i="5"/>
  <c r="H132" i="5" s="1"/>
  <c r="I131" i="5"/>
  <c r="C96" i="3" l="1"/>
  <c r="B96" i="3" s="1"/>
  <c r="I95" i="3"/>
  <c r="F96" i="3"/>
  <c r="H97" i="4"/>
  <c r="D97" i="4"/>
  <c r="E97" i="4" s="1"/>
  <c r="F133" i="5"/>
  <c r="E133" i="5"/>
  <c r="D133" i="5"/>
  <c r="B133" i="5"/>
  <c r="H133" i="5" s="1"/>
  <c r="I132" i="5"/>
  <c r="C133" i="5"/>
  <c r="H96" i="3" l="1"/>
  <c r="D96" i="3"/>
  <c r="E96" i="3" s="1"/>
  <c r="D134" i="5"/>
  <c r="C134" i="5"/>
  <c r="F134" i="5"/>
  <c r="E134" i="5"/>
  <c r="B134" i="5"/>
  <c r="H134" i="5" s="1"/>
  <c r="I133" i="5"/>
  <c r="F98" i="4"/>
  <c r="C98" i="4"/>
  <c r="B98" i="4"/>
  <c r="H98" i="4" s="1"/>
  <c r="I97" i="4"/>
  <c r="F97" i="3" l="1"/>
  <c r="C97" i="3"/>
  <c r="I96" i="3"/>
  <c r="B97" i="3"/>
  <c r="H97" i="3" s="1"/>
  <c r="D98" i="4"/>
  <c r="E98" i="4" s="1"/>
  <c r="F135" i="5"/>
  <c r="E135" i="5"/>
  <c r="D135" i="5"/>
  <c r="B135" i="5"/>
  <c r="H135" i="5" s="1"/>
  <c r="I134" i="5"/>
  <c r="C135" i="5"/>
  <c r="D97" i="3" l="1"/>
  <c r="E97" i="3" s="1"/>
  <c r="B136" i="5"/>
  <c r="H136" i="5" s="1"/>
  <c r="I135" i="5"/>
  <c r="F136" i="5"/>
  <c r="E136" i="5"/>
  <c r="C136" i="5"/>
  <c r="D136" i="5"/>
  <c r="C99" i="4"/>
  <c r="B99" i="4" s="1"/>
  <c r="F99" i="4"/>
  <c r="I98" i="4"/>
  <c r="C98" i="3" l="1"/>
  <c r="I97" i="3"/>
  <c r="F98" i="3"/>
  <c r="B98" i="3"/>
  <c r="H99" i="4"/>
  <c r="D99" i="4"/>
  <c r="E99" i="4" s="1"/>
  <c r="C100" i="4"/>
  <c r="F100" i="4"/>
  <c r="B100" i="4"/>
  <c r="I99" i="4"/>
  <c r="F137" i="5"/>
  <c r="E137" i="5"/>
  <c r="D137" i="5"/>
  <c r="B137" i="5"/>
  <c r="H137" i="5" s="1"/>
  <c r="I136" i="5"/>
  <c r="C137" i="5"/>
  <c r="H98" i="3" l="1"/>
  <c r="D98" i="3"/>
  <c r="E98" i="3" s="1"/>
  <c r="H100" i="4"/>
  <c r="B138" i="5"/>
  <c r="H138" i="5" s="1"/>
  <c r="I137" i="5"/>
  <c r="F138" i="5"/>
  <c r="E138" i="5"/>
  <c r="D138" i="5"/>
  <c r="C138" i="5"/>
  <c r="D100" i="4"/>
  <c r="E100" i="4" s="1"/>
  <c r="I98" i="3" l="1"/>
  <c r="C99" i="3"/>
  <c r="F99" i="3"/>
  <c r="B99" i="3"/>
  <c r="E139" i="5"/>
  <c r="D139" i="5"/>
  <c r="F139" i="5"/>
  <c r="B139" i="5"/>
  <c r="H139" i="5" s="1"/>
  <c r="I138" i="5"/>
  <c r="C139" i="5"/>
  <c r="I100" i="4"/>
  <c r="F101" i="4"/>
  <c r="C101" i="4"/>
  <c r="B101" i="4" s="1"/>
  <c r="H99" i="3" l="1"/>
  <c r="D99" i="3"/>
  <c r="E99" i="3" s="1"/>
  <c r="H101" i="4"/>
  <c r="D101" i="4"/>
  <c r="E101" i="4" s="1"/>
  <c r="B140" i="5"/>
  <c r="H140" i="5" s="1"/>
  <c r="I139" i="5"/>
  <c r="F140" i="5"/>
  <c r="E140" i="5"/>
  <c r="D140" i="5"/>
  <c r="C140" i="5"/>
  <c r="F100" i="3" l="1"/>
  <c r="C100" i="3"/>
  <c r="B100" i="3" s="1"/>
  <c r="I99" i="3"/>
  <c r="C141" i="5"/>
  <c r="B141" i="5"/>
  <c r="H141" i="5" s="1"/>
  <c r="F141" i="5"/>
  <c r="D141" i="5"/>
  <c r="I140" i="5"/>
  <c r="E141" i="5"/>
  <c r="F102" i="4"/>
  <c r="C102" i="4"/>
  <c r="B102" i="4"/>
  <c r="I101" i="4"/>
  <c r="H100" i="3" l="1"/>
  <c r="D100" i="3"/>
  <c r="E100" i="3" s="1"/>
  <c r="H102" i="4"/>
  <c r="B142" i="5"/>
  <c r="H142" i="5" s="1"/>
  <c r="I141" i="5"/>
  <c r="F142" i="5"/>
  <c r="E142" i="5"/>
  <c r="D142" i="5"/>
  <c r="C142" i="5"/>
  <c r="D102" i="4"/>
  <c r="E102" i="4" s="1"/>
  <c r="I100" i="3" l="1"/>
  <c r="F101" i="3"/>
  <c r="C101" i="3"/>
  <c r="B101" i="3" s="1"/>
  <c r="I142" i="5"/>
  <c r="F143" i="5"/>
  <c r="D143" i="5"/>
  <c r="C143" i="5"/>
  <c r="B143" i="5"/>
  <c r="H143" i="5" s="1"/>
  <c r="E143" i="5"/>
  <c r="C103" i="4"/>
  <c r="I102" i="4"/>
  <c r="F103" i="4"/>
  <c r="B103" i="4"/>
  <c r="H103" i="4" s="1"/>
  <c r="H101" i="3" l="1"/>
  <c r="D101" i="3"/>
  <c r="E101" i="3" s="1"/>
  <c r="F144" i="5"/>
  <c r="E144" i="5"/>
  <c r="B144" i="5"/>
  <c r="H144" i="5" s="1"/>
  <c r="I143" i="5"/>
  <c r="D144" i="5"/>
  <c r="C144" i="5"/>
  <c r="D103" i="4"/>
  <c r="E103" i="4" s="1"/>
  <c r="F102" i="3" l="1"/>
  <c r="C102" i="3"/>
  <c r="B102" i="3" s="1"/>
  <c r="H102" i="3" s="1"/>
  <c r="I101" i="3"/>
  <c r="F145" i="5"/>
  <c r="D145" i="5"/>
  <c r="C145" i="5"/>
  <c r="E145" i="5"/>
  <c r="B145" i="5"/>
  <c r="H145" i="5" s="1"/>
  <c r="I144" i="5"/>
  <c r="C104" i="4"/>
  <c r="B104" i="4"/>
  <c r="I103" i="4"/>
  <c r="F104" i="4"/>
  <c r="D102" i="3" l="1"/>
  <c r="E102" i="3" s="1"/>
  <c r="H104" i="4"/>
  <c r="D146" i="5"/>
  <c r="C146" i="5"/>
  <c r="B146" i="5"/>
  <c r="H146" i="5" s="1"/>
  <c r="I145" i="5"/>
  <c r="F146" i="5"/>
  <c r="E146" i="5"/>
  <c r="D104" i="4"/>
  <c r="E104" i="4" s="1"/>
  <c r="I102" i="3" l="1"/>
  <c r="F103" i="3"/>
  <c r="C103" i="3"/>
  <c r="B103" i="3" s="1"/>
  <c r="C105" i="4"/>
  <c r="B105" i="4"/>
  <c r="F105" i="4"/>
  <c r="I104" i="4"/>
  <c r="F147" i="5"/>
  <c r="D147" i="5"/>
  <c r="C147" i="5"/>
  <c r="B147" i="5"/>
  <c r="H147" i="5" s="1"/>
  <c r="I146" i="5"/>
  <c r="E147" i="5"/>
  <c r="H103" i="3" l="1"/>
  <c r="D103" i="3"/>
  <c r="E103" i="3" s="1"/>
  <c r="H105" i="4"/>
  <c r="D105" i="4"/>
  <c r="E105" i="4" s="1"/>
  <c r="B148" i="5"/>
  <c r="H148" i="5" s="1"/>
  <c r="I147" i="5"/>
  <c r="D148" i="5"/>
  <c r="C148" i="5"/>
  <c r="F148" i="5"/>
  <c r="E148" i="5"/>
  <c r="I103" i="3" l="1"/>
  <c r="F104" i="3"/>
  <c r="C104" i="3"/>
  <c r="B104" i="3" s="1"/>
  <c r="F149" i="5"/>
  <c r="D149" i="5"/>
  <c r="C149" i="5"/>
  <c r="E149" i="5"/>
  <c r="B149" i="5"/>
  <c r="H149" i="5" s="1"/>
  <c r="I148" i="5"/>
  <c r="F106" i="4"/>
  <c r="C106" i="4"/>
  <c r="B106" i="4" s="1"/>
  <c r="I105" i="4"/>
  <c r="H104" i="3" l="1"/>
  <c r="D104" i="3"/>
  <c r="E104" i="3" s="1"/>
  <c r="H106" i="4"/>
  <c r="D106" i="4"/>
  <c r="E106" i="4" s="1"/>
  <c r="D150" i="5"/>
  <c r="C150" i="5"/>
  <c r="B150" i="5"/>
  <c r="H150" i="5" s="1"/>
  <c r="I149" i="5"/>
  <c r="F150" i="5"/>
  <c r="E150" i="5"/>
  <c r="C105" i="3" l="1"/>
  <c r="I104" i="3"/>
  <c r="F105" i="3"/>
  <c r="B105" i="3"/>
  <c r="H105" i="3" s="1"/>
  <c r="E151" i="5"/>
  <c r="D151" i="5"/>
  <c r="F151" i="5"/>
  <c r="C151" i="5"/>
  <c r="B151" i="5"/>
  <c r="H151" i="5" s="1"/>
  <c r="I150" i="5"/>
  <c r="I106" i="4"/>
  <c r="F107" i="4"/>
  <c r="C107" i="4"/>
  <c r="B107" i="4" s="1"/>
  <c r="D105" i="3" l="1"/>
  <c r="E105" i="3" s="1"/>
  <c r="H107" i="4"/>
  <c r="D107" i="4"/>
  <c r="E107" i="4" s="1"/>
  <c r="D152" i="5"/>
  <c r="C152" i="5"/>
  <c r="B152" i="5"/>
  <c r="H152" i="5" s="1"/>
  <c r="I151" i="5"/>
  <c r="E152" i="5"/>
  <c r="F152" i="5"/>
  <c r="F106" i="3" l="1"/>
  <c r="C106" i="3"/>
  <c r="I105" i="3"/>
  <c r="B106" i="3"/>
  <c r="H106" i="3" s="1"/>
  <c r="I107" i="4"/>
  <c r="F108" i="4"/>
  <c r="C108" i="4"/>
  <c r="B108" i="4" s="1"/>
  <c r="C153" i="5"/>
  <c r="B153" i="5"/>
  <c r="H153" i="5" s="1"/>
  <c r="F153" i="5"/>
  <c r="E153" i="5"/>
  <c r="D153" i="5"/>
  <c r="I152" i="5"/>
  <c r="D106" i="3" l="1"/>
  <c r="E106" i="3" s="1"/>
  <c r="H108" i="4"/>
  <c r="D108" i="4"/>
  <c r="E108" i="4" s="1"/>
  <c r="D154" i="5"/>
  <c r="C154" i="5"/>
  <c r="B154" i="5"/>
  <c r="H154" i="5" s="1"/>
  <c r="I153" i="5"/>
  <c r="F154" i="5"/>
  <c r="E154" i="5"/>
  <c r="F107" i="3" l="1"/>
  <c r="I106" i="3"/>
  <c r="C107" i="3"/>
  <c r="B107" i="3" s="1"/>
  <c r="I154" i="5"/>
  <c r="F155" i="5"/>
  <c r="E155" i="5"/>
  <c r="D155" i="5"/>
  <c r="C155" i="5"/>
  <c r="B155" i="5"/>
  <c r="H155" i="5" s="1"/>
  <c r="I108" i="4"/>
  <c r="F109" i="4"/>
  <c r="C109" i="4"/>
  <c r="B109" i="4"/>
  <c r="H109" i="4" s="1"/>
  <c r="H107" i="3" l="1"/>
  <c r="D107" i="3"/>
  <c r="E107" i="3" s="1"/>
  <c r="F156" i="5"/>
  <c r="E156" i="5"/>
  <c r="D156" i="5"/>
  <c r="C156" i="5"/>
  <c r="B156" i="5"/>
  <c r="H156" i="5" s="1"/>
  <c r="I155" i="5"/>
  <c r="D109" i="4"/>
  <c r="E109" i="4" s="1"/>
  <c r="C108" i="3" l="1"/>
  <c r="B108" i="3" s="1"/>
  <c r="I107" i="3"/>
  <c r="F108" i="3"/>
  <c r="F110" i="4"/>
  <c r="I109" i="4"/>
  <c r="C110" i="4"/>
  <c r="B110" i="4"/>
  <c r="H110" i="4" s="1"/>
  <c r="F157" i="5"/>
  <c r="E157" i="5"/>
  <c r="D157" i="5"/>
  <c r="C157" i="5"/>
  <c r="B157" i="5"/>
  <c r="H157" i="5" s="1"/>
  <c r="I156" i="5"/>
  <c r="H108" i="3" l="1"/>
  <c r="D108" i="3"/>
  <c r="E108" i="3" s="1"/>
  <c r="D158" i="5"/>
  <c r="C158" i="5"/>
  <c r="F158" i="5"/>
  <c r="E158" i="5"/>
  <c r="B158" i="5"/>
  <c r="H158" i="5" s="1"/>
  <c r="I157" i="5"/>
  <c r="D110" i="4"/>
  <c r="E110" i="4" s="1"/>
  <c r="I108" i="3" l="1"/>
  <c r="F109" i="3"/>
  <c r="C109" i="3"/>
  <c r="B109" i="3" s="1"/>
  <c r="F159" i="5"/>
  <c r="E159" i="5"/>
  <c r="D159" i="5"/>
  <c r="C159" i="5"/>
  <c r="B159" i="5"/>
  <c r="H159" i="5" s="1"/>
  <c r="I158" i="5"/>
  <c r="C111" i="4"/>
  <c r="F111" i="4"/>
  <c r="B111" i="4"/>
  <c r="H111" i="4" s="1"/>
  <c r="I110" i="4"/>
  <c r="H109" i="3" l="1"/>
  <c r="D109" i="3"/>
  <c r="E109" i="3" s="1"/>
  <c r="D111" i="4"/>
  <c r="E111" i="4" s="1"/>
  <c r="B160" i="5"/>
  <c r="H160" i="5" s="1"/>
  <c r="I159" i="5"/>
  <c r="F160" i="5"/>
  <c r="E160" i="5"/>
  <c r="D160" i="5"/>
  <c r="C160" i="5"/>
  <c r="C110" i="3" l="1"/>
  <c r="B110" i="3"/>
  <c r="I109" i="3"/>
  <c r="F110" i="3"/>
  <c r="D110" i="3"/>
  <c r="E110" i="3" s="1"/>
  <c r="F161" i="5"/>
  <c r="D161" i="5"/>
  <c r="E161" i="5"/>
  <c r="C161" i="5"/>
  <c r="B161" i="5"/>
  <c r="H161" i="5" s="1"/>
  <c r="I160" i="5"/>
  <c r="F112" i="4"/>
  <c r="C112" i="4"/>
  <c r="B112" i="4"/>
  <c r="H112" i="4" s="1"/>
  <c r="I111" i="4"/>
  <c r="I110" i="3" l="1"/>
  <c r="C111" i="3"/>
  <c r="F111" i="3"/>
  <c r="B111" i="3"/>
  <c r="H111" i="3" s="1"/>
  <c r="H110" i="3"/>
  <c r="D112" i="4"/>
  <c r="E112" i="4" s="1"/>
  <c r="F162" i="5"/>
  <c r="E162" i="5"/>
  <c r="D162" i="5"/>
  <c r="B162" i="5"/>
  <c r="H162" i="5" s="1"/>
  <c r="I161" i="5"/>
  <c r="C162" i="5"/>
  <c r="D111" i="3" l="1"/>
  <c r="E111" i="3" s="1"/>
  <c r="I112" i="4"/>
  <c r="F113" i="4"/>
  <c r="C113" i="4"/>
  <c r="B113" i="4"/>
  <c r="H113" i="4" s="1"/>
  <c r="E163" i="5"/>
  <c r="D163" i="5"/>
  <c r="B163" i="5"/>
  <c r="H163" i="5" s="1"/>
  <c r="F163" i="5"/>
  <c r="C163" i="5"/>
  <c r="I162" i="5"/>
  <c r="C112" i="3" l="1"/>
  <c r="F112" i="3"/>
  <c r="B112" i="3"/>
  <c r="I111" i="3"/>
  <c r="D113" i="4"/>
  <c r="E113" i="4" s="1"/>
  <c r="F164" i="5"/>
  <c r="E164" i="5"/>
  <c r="C164" i="5"/>
  <c r="B164" i="5"/>
  <c r="H164" i="5" s="1"/>
  <c r="I163" i="5"/>
  <c r="D164" i="5"/>
  <c r="H112" i="3" l="1"/>
  <c r="D112" i="3"/>
  <c r="E112" i="3" s="1"/>
  <c r="C165" i="5"/>
  <c r="B165" i="5"/>
  <c r="H165" i="5" s="1"/>
  <c r="D165" i="5"/>
  <c r="I164" i="5"/>
  <c r="F165" i="5"/>
  <c r="E165" i="5"/>
  <c r="F114" i="4"/>
  <c r="I113" i="4"/>
  <c r="C114" i="4"/>
  <c r="B114" i="4" s="1"/>
  <c r="F113" i="3" l="1"/>
  <c r="C113" i="3"/>
  <c r="B113" i="3"/>
  <c r="H113" i="3" s="1"/>
  <c r="I112" i="3"/>
  <c r="H114" i="4"/>
  <c r="D114" i="4"/>
  <c r="E114" i="4" s="1"/>
  <c r="E166" i="5"/>
  <c r="D166" i="5"/>
  <c r="C166" i="5"/>
  <c r="F166" i="5"/>
  <c r="B166" i="5"/>
  <c r="H166" i="5" s="1"/>
  <c r="I165" i="5"/>
  <c r="D113" i="3" l="1"/>
  <c r="E113" i="3" s="1"/>
  <c r="C115" i="4"/>
  <c r="I114" i="4"/>
  <c r="F115" i="4"/>
  <c r="B115" i="4"/>
  <c r="I166" i="5"/>
  <c r="E167" i="5"/>
  <c r="D167" i="5"/>
  <c r="C167" i="5"/>
  <c r="B167" i="5"/>
  <c r="H167" i="5" s="1"/>
  <c r="F167" i="5"/>
  <c r="F114" i="3" l="1"/>
  <c r="C114" i="3"/>
  <c r="B114" i="3" s="1"/>
  <c r="I113" i="3"/>
  <c r="H115" i="4"/>
  <c r="F168" i="5"/>
  <c r="E168" i="5"/>
  <c r="C168" i="5"/>
  <c r="D168" i="5"/>
  <c r="B168" i="5"/>
  <c r="H168" i="5" s="1"/>
  <c r="I167" i="5"/>
  <c r="D115" i="4"/>
  <c r="E115" i="4" s="1"/>
  <c r="H114" i="3" l="1"/>
  <c r="D114" i="3"/>
  <c r="E114" i="3" s="1"/>
  <c r="C115" i="3" s="1"/>
  <c r="F169" i="5"/>
  <c r="E169" i="5"/>
  <c r="D169" i="5"/>
  <c r="C169" i="5"/>
  <c r="I168" i="5"/>
  <c r="B169" i="5"/>
  <c r="H169" i="5" s="1"/>
  <c r="C116" i="4"/>
  <c r="I115" i="4"/>
  <c r="F116" i="4"/>
  <c r="B116" i="4"/>
  <c r="H116" i="4" s="1"/>
  <c r="F115" i="3" l="1"/>
  <c r="I114" i="3"/>
  <c r="B115" i="3"/>
  <c r="H115" i="3" s="1"/>
  <c r="D115" i="3"/>
  <c r="E115" i="3" s="1"/>
  <c r="D170" i="5"/>
  <c r="C170" i="5"/>
  <c r="I169" i="5"/>
  <c r="F170" i="5"/>
  <c r="E170" i="5"/>
  <c r="B170" i="5"/>
  <c r="H170" i="5" s="1"/>
  <c r="D116" i="4"/>
  <c r="E116" i="4" s="1"/>
  <c r="I115" i="3" l="1"/>
  <c r="F116" i="3"/>
  <c r="C116" i="3"/>
  <c r="B116" i="3" s="1"/>
  <c r="F171" i="5"/>
  <c r="E171" i="5"/>
  <c r="D171" i="5"/>
  <c r="B171" i="5"/>
  <c r="H171" i="5" s="1"/>
  <c r="I170" i="5"/>
  <c r="C171" i="5"/>
  <c r="C117" i="4"/>
  <c r="B117" i="4" s="1"/>
  <c r="F117" i="4"/>
  <c r="I116" i="4"/>
  <c r="H116" i="3" l="1"/>
  <c r="D116" i="3"/>
  <c r="E116" i="3" s="1"/>
  <c r="H117" i="4"/>
  <c r="D117" i="4"/>
  <c r="E117" i="4" s="1"/>
  <c r="B172" i="5"/>
  <c r="H172" i="5" s="1"/>
  <c r="I171" i="5"/>
  <c r="C172" i="5"/>
  <c r="F172" i="5"/>
  <c r="E172" i="5"/>
  <c r="D172" i="5"/>
  <c r="I116" i="3" l="1"/>
  <c r="F117" i="3"/>
  <c r="C117" i="3"/>
  <c r="B117" i="3" s="1"/>
  <c r="C118" i="4"/>
  <c r="B118" i="4" s="1"/>
  <c r="F118" i="4"/>
  <c r="I117" i="4"/>
  <c r="F173" i="5"/>
  <c r="D173" i="5"/>
  <c r="C173" i="5"/>
  <c r="B173" i="5"/>
  <c r="H173" i="5" s="1"/>
  <c r="I172" i="5"/>
  <c r="E173" i="5"/>
  <c r="H117" i="3" l="1"/>
  <c r="D117" i="3"/>
  <c r="E117" i="3" s="1"/>
  <c r="H118" i="4"/>
  <c r="D118" i="4"/>
  <c r="E118" i="4" s="1"/>
  <c r="D174" i="5"/>
  <c r="C174" i="5"/>
  <c r="B174" i="5"/>
  <c r="H174" i="5" s="1"/>
  <c r="I173" i="5"/>
  <c r="F174" i="5"/>
  <c r="E174" i="5"/>
  <c r="F118" i="3" l="1"/>
  <c r="C118" i="3"/>
  <c r="I117" i="3"/>
  <c r="B118" i="3"/>
  <c r="F119" i="4"/>
  <c r="C119" i="4"/>
  <c r="B119" i="4" s="1"/>
  <c r="I118" i="4"/>
  <c r="E175" i="5"/>
  <c r="D175" i="5"/>
  <c r="B175" i="5"/>
  <c r="H175" i="5" s="1"/>
  <c r="F175" i="5"/>
  <c r="C175" i="5"/>
  <c r="I174" i="5"/>
  <c r="H118" i="3" l="1"/>
  <c r="D118" i="3"/>
  <c r="E118" i="3" s="1"/>
  <c r="H119" i="4"/>
  <c r="D119" i="4"/>
  <c r="E119" i="4" s="1"/>
  <c r="E176" i="5"/>
  <c r="D176" i="5"/>
  <c r="C176" i="5"/>
  <c r="B176" i="5"/>
  <c r="H176" i="5" s="1"/>
  <c r="F176" i="5"/>
  <c r="I175" i="5"/>
  <c r="F119" i="3" l="1"/>
  <c r="C119" i="3"/>
  <c r="B119" i="3" s="1"/>
  <c r="I118" i="3"/>
  <c r="C177" i="5"/>
  <c r="B177" i="5"/>
  <c r="H177" i="5" s="1"/>
  <c r="F177" i="5"/>
  <c r="E177" i="5"/>
  <c r="D177" i="5"/>
  <c r="I176" i="5"/>
  <c r="C120" i="4"/>
  <c r="B120" i="4"/>
  <c r="D120" i="4" s="1"/>
  <c r="E120" i="4" s="1"/>
  <c r="F120" i="4"/>
  <c r="I119" i="4"/>
  <c r="H119" i="3" l="1"/>
  <c r="D119" i="3"/>
  <c r="E119" i="3" s="1"/>
  <c r="F121" i="4"/>
  <c r="I120" i="4"/>
  <c r="C121" i="4"/>
  <c r="B121" i="4" s="1"/>
  <c r="E178" i="5"/>
  <c r="F178" i="5"/>
  <c r="D178" i="5"/>
  <c r="C178" i="5"/>
  <c r="I177" i="5"/>
  <c r="B178" i="5"/>
  <c r="H178" i="5" s="1"/>
  <c r="H120" i="4"/>
  <c r="F120" i="3" l="1"/>
  <c r="C120" i="3"/>
  <c r="B120" i="3" s="1"/>
  <c r="I119" i="3"/>
  <c r="H121" i="4"/>
  <c r="D121" i="4"/>
  <c r="E121" i="4" s="1"/>
  <c r="I178" i="5"/>
  <c r="B179" i="5"/>
  <c r="H179" i="5" s="1"/>
  <c r="C179" i="5"/>
  <c r="F179" i="5"/>
  <c r="E179" i="5"/>
  <c r="D179" i="5"/>
  <c r="H120" i="3" l="1"/>
  <c r="D120" i="3"/>
  <c r="E120" i="3" s="1"/>
  <c r="I121" i="4"/>
  <c r="F122" i="4"/>
  <c r="C122" i="4"/>
  <c r="B122" i="4" s="1"/>
  <c r="F180" i="5"/>
  <c r="E180" i="5"/>
  <c r="C180" i="5"/>
  <c r="B180" i="5"/>
  <c r="H180" i="5" s="1"/>
  <c r="I179" i="5"/>
  <c r="D180" i="5"/>
  <c r="C121" i="3" l="1"/>
  <c r="I120" i="3"/>
  <c r="F121" i="3"/>
  <c r="B121" i="3"/>
  <c r="H122" i="4"/>
  <c r="D122" i="4"/>
  <c r="E122" i="4" s="1"/>
  <c r="C181" i="5"/>
  <c r="B181" i="5"/>
  <c r="H181" i="5" s="1"/>
  <c r="I180" i="5"/>
  <c r="F181" i="5"/>
  <c r="E181" i="5"/>
  <c r="D181" i="5"/>
  <c r="H121" i="3" l="1"/>
  <c r="D121" i="3"/>
  <c r="E121" i="3" s="1"/>
  <c r="C123" i="4"/>
  <c r="I122" i="4"/>
  <c r="F123" i="4"/>
  <c r="B123" i="4"/>
  <c r="H123" i="4" s="1"/>
  <c r="D182" i="5"/>
  <c r="C182" i="5"/>
  <c r="I181" i="5"/>
  <c r="F182" i="5"/>
  <c r="E182" i="5"/>
  <c r="B182" i="5"/>
  <c r="H182" i="5" s="1"/>
  <c r="C122" i="3" l="1"/>
  <c r="B122" i="3" s="1"/>
  <c r="D122" i="3" s="1"/>
  <c r="E122" i="3" s="1"/>
  <c r="I121" i="3"/>
  <c r="F122" i="3"/>
  <c r="D123" i="4"/>
  <c r="E123" i="4" s="1"/>
  <c r="I123" i="4"/>
  <c r="F124" i="4"/>
  <c r="C124" i="4"/>
  <c r="B124" i="4"/>
  <c r="H124" i="4" s="1"/>
  <c r="F183" i="5"/>
  <c r="D183" i="5"/>
  <c r="C183" i="5"/>
  <c r="B183" i="5"/>
  <c r="H183" i="5" s="1"/>
  <c r="I182" i="5"/>
  <c r="E183" i="5"/>
  <c r="F123" i="3" l="1"/>
  <c r="I122" i="3"/>
  <c r="C123" i="3"/>
  <c r="B123" i="3" s="1"/>
  <c r="H122" i="3"/>
  <c r="B184" i="5"/>
  <c r="H184" i="5" s="1"/>
  <c r="I183" i="5"/>
  <c r="F184" i="5"/>
  <c r="E184" i="5"/>
  <c r="C184" i="5"/>
  <c r="D184" i="5"/>
  <c r="D124" i="4"/>
  <c r="E124" i="4" s="1"/>
  <c r="H123" i="3" l="1"/>
  <c r="D123" i="3"/>
  <c r="E123" i="3" s="1"/>
  <c r="F185" i="5"/>
  <c r="D185" i="5"/>
  <c r="E185" i="5"/>
  <c r="C185" i="5"/>
  <c r="B185" i="5"/>
  <c r="H185" i="5" s="1"/>
  <c r="I184" i="5"/>
  <c r="I124" i="4"/>
  <c r="F125" i="4"/>
  <c r="C125" i="4"/>
  <c r="B125" i="4" s="1"/>
  <c r="H125" i="4" s="1"/>
  <c r="F124" i="3" l="1"/>
  <c r="C124" i="3"/>
  <c r="B124" i="3" s="1"/>
  <c r="I123" i="3"/>
  <c r="I185" i="5"/>
  <c r="F186" i="5"/>
  <c r="E186" i="5"/>
  <c r="D186" i="5"/>
  <c r="C186" i="5"/>
  <c r="B186" i="5"/>
  <c r="H186" i="5" s="1"/>
  <c r="D125" i="4"/>
  <c r="E125" i="4" s="1"/>
  <c r="H124" i="3" l="1"/>
  <c r="D124" i="3"/>
  <c r="E124" i="3" s="1"/>
  <c r="E187" i="5"/>
  <c r="D187" i="5"/>
  <c r="B187" i="5"/>
  <c r="H187" i="5" s="1"/>
  <c r="F187" i="5"/>
  <c r="I186" i="5"/>
  <c r="C187" i="5"/>
  <c r="F126" i="4"/>
  <c r="C126" i="4"/>
  <c r="B126" i="4" s="1"/>
  <c r="I125" i="4"/>
  <c r="C125" i="3" l="1"/>
  <c r="F125" i="3"/>
  <c r="B125" i="3"/>
  <c r="H125" i="3" s="1"/>
  <c r="I124" i="3"/>
  <c r="H126" i="4"/>
  <c r="D126" i="4"/>
  <c r="E126" i="4" s="1"/>
  <c r="B188" i="5"/>
  <c r="H188" i="5" s="1"/>
  <c r="I187" i="5"/>
  <c r="F188" i="5"/>
  <c r="E188" i="5"/>
  <c r="D188" i="5"/>
  <c r="C188" i="5"/>
  <c r="D125" i="3" l="1"/>
  <c r="E125" i="3" s="1"/>
  <c r="C189" i="5"/>
  <c r="B189" i="5"/>
  <c r="H189" i="5" s="1"/>
  <c r="E189" i="5"/>
  <c r="D189" i="5"/>
  <c r="I188" i="5"/>
  <c r="F189" i="5"/>
  <c r="F127" i="4"/>
  <c r="C127" i="4"/>
  <c r="B127" i="4"/>
  <c r="H127" i="4" s="1"/>
  <c r="I126" i="4"/>
  <c r="D127" i="4"/>
  <c r="E127" i="4" s="1"/>
  <c r="F126" i="3" l="1"/>
  <c r="C126" i="3"/>
  <c r="B126" i="3" s="1"/>
  <c r="I125" i="3"/>
  <c r="F128" i="4"/>
  <c r="C128" i="4"/>
  <c r="I127" i="4"/>
  <c r="B128" i="4"/>
  <c r="H128" i="4" s="1"/>
  <c r="E190" i="5"/>
  <c r="C190" i="5"/>
  <c r="B190" i="5"/>
  <c r="H190" i="5" s="1"/>
  <c r="I189" i="5"/>
  <c r="F190" i="5"/>
  <c r="D190" i="5"/>
  <c r="H126" i="3" l="1"/>
  <c r="D126" i="3"/>
  <c r="E126" i="3" s="1"/>
  <c r="I190" i="5"/>
  <c r="F191" i="5"/>
  <c r="E191" i="5"/>
  <c r="D191" i="5"/>
  <c r="C191" i="5"/>
  <c r="B191" i="5"/>
  <c r="H191" i="5" s="1"/>
  <c r="D128" i="4"/>
  <c r="E128" i="4" s="1"/>
  <c r="C127" i="3" l="1"/>
  <c r="I126" i="3"/>
  <c r="F127" i="3"/>
  <c r="B127" i="3"/>
  <c r="H127" i="3" s="1"/>
  <c r="F192" i="5"/>
  <c r="E192" i="5"/>
  <c r="C192" i="5"/>
  <c r="D192" i="5"/>
  <c r="B192" i="5"/>
  <c r="H192" i="5" s="1"/>
  <c r="I191" i="5"/>
  <c r="I128" i="4"/>
  <c r="F129" i="4"/>
  <c r="C129" i="4"/>
  <c r="B129" i="4" s="1"/>
  <c r="D127" i="3" l="1"/>
  <c r="E127" i="3" s="1"/>
  <c r="C128" i="3" s="1"/>
  <c r="B128" i="3" s="1"/>
  <c r="D128" i="3" s="1"/>
  <c r="E128" i="3" s="1"/>
  <c r="I127" i="3"/>
  <c r="F128" i="3"/>
  <c r="H129" i="4"/>
  <c r="D129" i="4"/>
  <c r="E129" i="4" s="1"/>
  <c r="F193" i="5"/>
  <c r="E193" i="5"/>
  <c r="D193" i="5"/>
  <c r="C193" i="5"/>
  <c r="B193" i="5"/>
  <c r="H193" i="5" s="1"/>
  <c r="I192" i="5"/>
  <c r="I128" i="3" l="1"/>
  <c r="C129" i="3"/>
  <c r="B129" i="3" s="1"/>
  <c r="F129" i="3"/>
  <c r="H128" i="3"/>
  <c r="D194" i="5"/>
  <c r="C194" i="5"/>
  <c r="I193" i="5"/>
  <c r="F194" i="5"/>
  <c r="E194" i="5"/>
  <c r="B194" i="5"/>
  <c r="H194" i="5" s="1"/>
  <c r="C130" i="4"/>
  <c r="B130" i="4" s="1"/>
  <c r="F130" i="4"/>
  <c r="I129" i="4"/>
  <c r="H129" i="3" l="1"/>
  <c r="D129" i="3"/>
  <c r="E129" i="3" s="1"/>
  <c r="H130" i="4"/>
  <c r="D130" i="4"/>
  <c r="E130" i="4" s="1"/>
  <c r="F195" i="5"/>
  <c r="I194" i="5"/>
  <c r="E195" i="5"/>
  <c r="D195" i="5"/>
  <c r="C195" i="5"/>
  <c r="B195" i="5"/>
  <c r="H195" i="5" s="1"/>
  <c r="F130" i="3" l="1"/>
  <c r="C130" i="3"/>
  <c r="I129" i="3"/>
  <c r="B130" i="3"/>
  <c r="H130" i="3" s="1"/>
  <c r="B196" i="5"/>
  <c r="H196" i="5" s="1"/>
  <c r="I195" i="5"/>
  <c r="F196" i="5"/>
  <c r="E196" i="5"/>
  <c r="D196" i="5"/>
  <c r="C196" i="5"/>
  <c r="C131" i="4"/>
  <c r="I130" i="4"/>
  <c r="F131" i="4"/>
  <c r="B131" i="4"/>
  <c r="D130" i="3" l="1"/>
  <c r="E130" i="3" s="1"/>
  <c r="H131" i="4"/>
  <c r="D131" i="4"/>
  <c r="E131" i="4" s="1"/>
  <c r="F197" i="5"/>
  <c r="D197" i="5"/>
  <c r="B197" i="5"/>
  <c r="H197" i="5" s="1"/>
  <c r="I196" i="5"/>
  <c r="E197" i="5"/>
  <c r="C197" i="5"/>
  <c r="F131" i="3" l="1"/>
  <c r="I130" i="3"/>
  <c r="C131" i="3"/>
  <c r="B131" i="3" s="1"/>
  <c r="F198" i="5"/>
  <c r="E198" i="5"/>
  <c r="D198" i="5"/>
  <c r="C198" i="5"/>
  <c r="B198" i="5"/>
  <c r="H198" i="5" s="1"/>
  <c r="I197" i="5"/>
  <c r="F132" i="4"/>
  <c r="C132" i="4"/>
  <c r="B132" i="4"/>
  <c r="H132" i="4" s="1"/>
  <c r="I131" i="4"/>
  <c r="H131" i="3" l="1"/>
  <c r="D131" i="3"/>
  <c r="E131" i="3" s="1"/>
  <c r="E199" i="5"/>
  <c r="D199" i="5"/>
  <c r="B199" i="5"/>
  <c r="H199" i="5" s="1"/>
  <c r="F199" i="5"/>
  <c r="C199" i="5"/>
  <c r="I198" i="5"/>
  <c r="D132" i="4"/>
  <c r="E132" i="4" s="1"/>
  <c r="I131" i="3" l="1"/>
  <c r="F132" i="3"/>
  <c r="C132" i="3"/>
  <c r="B132" i="3" s="1"/>
  <c r="C133" i="4"/>
  <c r="B133" i="4"/>
  <c r="F133" i="4"/>
  <c r="I132" i="4"/>
  <c r="F200" i="5"/>
  <c r="E200" i="5"/>
  <c r="D200" i="5"/>
  <c r="C200" i="5"/>
  <c r="B200" i="5"/>
  <c r="H200" i="5" s="1"/>
  <c r="I199" i="5"/>
  <c r="H132" i="3" l="1"/>
  <c r="D132" i="3"/>
  <c r="E132" i="3" s="1"/>
  <c r="H133" i="4"/>
  <c r="D133" i="4"/>
  <c r="E133" i="4" s="1"/>
  <c r="C201" i="5"/>
  <c r="B201" i="5"/>
  <c r="H201" i="5" s="1"/>
  <c r="F201" i="5"/>
  <c r="E201" i="5"/>
  <c r="D201" i="5"/>
  <c r="I200" i="5"/>
  <c r="F133" i="3" l="1"/>
  <c r="C133" i="3"/>
  <c r="B133" i="3" s="1"/>
  <c r="I132" i="3"/>
  <c r="F134" i="4"/>
  <c r="C134" i="4"/>
  <c r="B134" i="4" s="1"/>
  <c r="I133" i="4"/>
  <c r="E202" i="5"/>
  <c r="F202" i="5"/>
  <c r="D202" i="5"/>
  <c r="C202" i="5"/>
  <c r="B202" i="5"/>
  <c r="H202" i="5" s="1"/>
  <c r="I201" i="5"/>
  <c r="H133" i="3" l="1"/>
  <c r="D133" i="3"/>
  <c r="E133" i="3" s="1"/>
  <c r="H134" i="4"/>
  <c r="D134" i="4"/>
  <c r="E134" i="4" s="1"/>
  <c r="I202" i="5"/>
  <c r="F203" i="5"/>
  <c r="E203" i="5"/>
  <c r="D203" i="5"/>
  <c r="C203" i="5"/>
  <c r="B203" i="5"/>
  <c r="H203" i="5" s="1"/>
  <c r="F134" i="3" l="1"/>
  <c r="C134" i="3"/>
  <c r="B134" i="3" s="1"/>
  <c r="I133" i="3"/>
  <c r="F204" i="5"/>
  <c r="E204" i="5"/>
  <c r="C204" i="5"/>
  <c r="I203" i="5"/>
  <c r="D204" i="5"/>
  <c r="B204" i="5"/>
  <c r="H204" i="5" s="1"/>
  <c r="C135" i="4"/>
  <c r="B135" i="4"/>
  <c r="I134" i="4"/>
  <c r="F135" i="4"/>
  <c r="D135" i="4"/>
  <c r="E135" i="4" s="1"/>
  <c r="H134" i="3" l="1"/>
  <c r="D134" i="3"/>
  <c r="E134" i="3" s="1"/>
  <c r="F136" i="4"/>
  <c r="I135" i="4"/>
  <c r="C136" i="4"/>
  <c r="B136" i="4" s="1"/>
  <c r="F205" i="5"/>
  <c r="E205" i="5"/>
  <c r="D205" i="5"/>
  <c r="C205" i="5"/>
  <c r="B205" i="5"/>
  <c r="H205" i="5" s="1"/>
  <c r="I204" i="5"/>
  <c r="H135" i="4"/>
  <c r="F135" i="3" l="1"/>
  <c r="C135" i="3"/>
  <c r="B135" i="3" s="1"/>
  <c r="I134" i="3"/>
  <c r="H136" i="4"/>
  <c r="D136" i="4"/>
  <c r="E136" i="4" s="1"/>
  <c r="D206" i="5"/>
  <c r="C206" i="5"/>
  <c r="I205" i="5"/>
  <c r="E206" i="5"/>
  <c r="B206" i="5"/>
  <c r="H206" i="5" s="1"/>
  <c r="F206" i="5"/>
  <c r="H135" i="3" l="1"/>
  <c r="D135" i="3"/>
  <c r="E135" i="3" s="1"/>
  <c r="F207" i="5"/>
  <c r="E207" i="5"/>
  <c r="D207" i="5"/>
  <c r="C207" i="5"/>
  <c r="B207" i="5"/>
  <c r="H207" i="5" s="1"/>
  <c r="I206" i="5"/>
  <c r="I136" i="4"/>
  <c r="F137" i="4"/>
  <c r="C137" i="4"/>
  <c r="B137" i="4" s="1"/>
  <c r="H137" i="4" s="1"/>
  <c r="I135" i="3" l="1"/>
  <c r="F136" i="3"/>
  <c r="C136" i="3"/>
  <c r="B136" i="3" s="1"/>
  <c r="D137" i="4"/>
  <c r="E137" i="4" s="1"/>
  <c r="B208" i="5"/>
  <c r="H208" i="5" s="1"/>
  <c r="I207" i="5"/>
  <c r="F208" i="5"/>
  <c r="E208" i="5"/>
  <c r="D208" i="5"/>
  <c r="C208" i="5"/>
  <c r="H136" i="3" l="1"/>
  <c r="D136" i="3"/>
  <c r="E136" i="3" s="1"/>
  <c r="F138" i="4"/>
  <c r="C138" i="4"/>
  <c r="I137" i="4"/>
  <c r="B138" i="4"/>
  <c r="H138" i="4" s="1"/>
  <c r="F209" i="5"/>
  <c r="D209" i="5"/>
  <c r="E209" i="5"/>
  <c r="C209" i="5"/>
  <c r="B209" i="5"/>
  <c r="H209" i="5" s="1"/>
  <c r="I208" i="5"/>
  <c r="F137" i="3" l="1"/>
  <c r="C137" i="3"/>
  <c r="B137" i="3" s="1"/>
  <c r="H137" i="3" s="1"/>
  <c r="I136" i="3"/>
  <c r="F210" i="5"/>
  <c r="E210" i="5"/>
  <c r="D210" i="5"/>
  <c r="C210" i="5"/>
  <c r="B210" i="5"/>
  <c r="H210" i="5" s="1"/>
  <c r="I209" i="5"/>
  <c r="D138" i="4"/>
  <c r="E138" i="4" s="1"/>
  <c r="D137" i="3" l="1"/>
  <c r="E137" i="3" s="1"/>
  <c r="D138" i="3" s="1"/>
  <c r="E138" i="3"/>
  <c r="C138" i="3"/>
  <c r="B138" i="3"/>
  <c r="H138" i="3" s="1"/>
  <c r="I138" i="4"/>
  <c r="F139" i="4"/>
  <c r="C139" i="4"/>
  <c r="B139" i="4" s="1"/>
  <c r="H139" i="4" s="1"/>
  <c r="E211" i="5"/>
  <c r="D211" i="5"/>
  <c r="B211" i="5"/>
  <c r="H211" i="5" s="1"/>
  <c r="F211" i="5"/>
  <c r="C211" i="5"/>
  <c r="I210" i="5"/>
  <c r="I137" i="3" l="1"/>
  <c r="F138" i="3"/>
  <c r="D139" i="3"/>
  <c r="C139" i="3"/>
  <c r="I138" i="3"/>
  <c r="F139" i="3"/>
  <c r="E139" i="3"/>
  <c r="B139" i="3"/>
  <c r="H139" i="3" s="1"/>
  <c r="D139" i="4"/>
  <c r="E139" i="4" s="1"/>
  <c r="F212" i="5"/>
  <c r="E212" i="5"/>
  <c r="D212" i="5"/>
  <c r="C212" i="5"/>
  <c r="B212" i="5"/>
  <c r="H212" i="5" s="1"/>
  <c r="I211" i="5"/>
  <c r="F140" i="3" l="1"/>
  <c r="E140" i="3"/>
  <c r="I139" i="3"/>
  <c r="C140" i="3"/>
  <c r="D140" i="3"/>
  <c r="B140" i="3"/>
  <c r="H140" i="3" s="1"/>
  <c r="C213" i="5"/>
  <c r="B213" i="5"/>
  <c r="H213" i="5" s="1"/>
  <c r="D213" i="5"/>
  <c r="I212" i="5"/>
  <c r="F213" i="5"/>
  <c r="E213" i="5"/>
  <c r="F140" i="4"/>
  <c r="C140" i="4"/>
  <c r="B140" i="4" s="1"/>
  <c r="I139" i="4"/>
  <c r="B141" i="3" l="1"/>
  <c r="H141" i="3" s="1"/>
  <c r="C141" i="3"/>
  <c r="F141" i="3"/>
  <c r="E141" i="3"/>
  <c r="I140" i="3"/>
  <c r="D141" i="3"/>
  <c r="H140" i="4"/>
  <c r="D140" i="4"/>
  <c r="E140" i="4" s="1"/>
  <c r="E214" i="5"/>
  <c r="F214" i="5"/>
  <c r="D214" i="5"/>
  <c r="C214" i="5"/>
  <c r="B214" i="5"/>
  <c r="H214" i="5" s="1"/>
  <c r="I213" i="5"/>
  <c r="B142" i="3" l="1"/>
  <c r="H142" i="3" s="1"/>
  <c r="E142" i="3"/>
  <c r="C142" i="3"/>
  <c r="F142" i="3"/>
  <c r="D142" i="3"/>
  <c r="I141" i="3"/>
  <c r="I214" i="5"/>
  <c r="E215" i="5"/>
  <c r="D215" i="5"/>
  <c r="C215" i="5"/>
  <c r="B215" i="5"/>
  <c r="H215" i="5" s="1"/>
  <c r="F215" i="5"/>
  <c r="F141" i="4"/>
  <c r="C141" i="4"/>
  <c r="B141" i="4" s="1"/>
  <c r="I140" i="4"/>
  <c r="I142" i="3" l="1"/>
  <c r="E143" i="3"/>
  <c r="D143" i="3"/>
  <c r="B143" i="3"/>
  <c r="H143" i="3" s="1"/>
  <c r="F143" i="3"/>
  <c r="C143" i="3"/>
  <c r="H141" i="4"/>
  <c r="D141" i="4"/>
  <c r="E141" i="4" s="1"/>
  <c r="F216" i="5"/>
  <c r="F217" i="5" s="1"/>
  <c r="E216" i="5"/>
  <c r="I216" i="5" s="1"/>
  <c r="C216" i="5"/>
  <c r="C217" i="5" s="1"/>
  <c r="D216" i="5"/>
  <c r="D217" i="5" s="1"/>
  <c r="B216" i="5"/>
  <c r="I215" i="5"/>
  <c r="I143" i="3" l="1"/>
  <c r="F144" i="3"/>
  <c r="D144" i="3"/>
  <c r="C144" i="3"/>
  <c r="B144" i="3"/>
  <c r="H144" i="3" s="1"/>
  <c r="E144" i="3"/>
  <c r="B221" i="5"/>
  <c r="I8" i="2"/>
  <c r="H12" i="5"/>
  <c r="B222" i="5"/>
  <c r="J8" i="2"/>
  <c r="H216" i="5"/>
  <c r="H217" i="5" s="1"/>
  <c r="B13" i="5"/>
  <c r="D27" i="2" s="1"/>
  <c r="B217" i="5"/>
  <c r="E12" i="5"/>
  <c r="B226" i="5" s="1"/>
  <c r="E11" i="5"/>
  <c r="B224" i="5"/>
  <c r="B142" i="4"/>
  <c r="H142" i="4" s="1"/>
  <c r="F142" i="4"/>
  <c r="C142" i="4"/>
  <c r="I141" i="4"/>
  <c r="D145" i="3" l="1"/>
  <c r="F145" i="3"/>
  <c r="C145" i="3"/>
  <c r="E145" i="3"/>
  <c r="B145" i="3"/>
  <c r="H145" i="3" s="1"/>
  <c r="I144" i="3"/>
  <c r="D142" i="4"/>
  <c r="E142" i="4" s="1"/>
  <c r="B223" i="5"/>
  <c r="B225" i="5"/>
  <c r="B146" i="3" l="1"/>
  <c r="H146" i="3" s="1"/>
  <c r="I145" i="3"/>
  <c r="F146" i="3"/>
  <c r="C146" i="3"/>
  <c r="E146" i="3"/>
  <c r="D146" i="3"/>
  <c r="F143" i="4"/>
  <c r="C143" i="4"/>
  <c r="I142" i="4"/>
  <c r="B143" i="4"/>
  <c r="H143" i="4" s="1"/>
  <c r="F147" i="3" l="1"/>
  <c r="E147" i="3"/>
  <c r="D147" i="3"/>
  <c r="B147" i="3"/>
  <c r="H147" i="3" s="1"/>
  <c r="C147" i="3"/>
  <c r="I146" i="3"/>
  <c r="D143" i="4"/>
  <c r="E143" i="4" s="1"/>
  <c r="D148" i="3" l="1"/>
  <c r="E148" i="3"/>
  <c r="F148" i="3"/>
  <c r="C148" i="3"/>
  <c r="B148" i="3"/>
  <c r="H148" i="3" s="1"/>
  <c r="I147" i="3"/>
  <c r="F144" i="4"/>
  <c r="C144" i="4"/>
  <c r="B144" i="4" s="1"/>
  <c r="I143" i="4"/>
  <c r="F149" i="3" l="1"/>
  <c r="E149" i="3"/>
  <c r="C149" i="3"/>
  <c r="B149" i="3"/>
  <c r="H149" i="3" s="1"/>
  <c r="I148" i="3"/>
  <c r="D149" i="3"/>
  <c r="H144" i="4"/>
  <c r="D144" i="4"/>
  <c r="E144" i="4" s="1"/>
  <c r="D150" i="3" l="1"/>
  <c r="C150" i="3"/>
  <c r="B150" i="3"/>
  <c r="H150" i="3" s="1"/>
  <c r="E150" i="3"/>
  <c r="I149" i="3"/>
  <c r="F150" i="3"/>
  <c r="C145" i="4"/>
  <c r="B145" i="4" s="1"/>
  <c r="F145" i="4"/>
  <c r="I144" i="4"/>
  <c r="F151" i="3" l="1"/>
  <c r="E151" i="3"/>
  <c r="I150" i="3"/>
  <c r="D151" i="3"/>
  <c r="B151" i="3"/>
  <c r="H151" i="3" s="1"/>
  <c r="C151" i="3"/>
  <c r="H145" i="4"/>
  <c r="D145" i="4"/>
  <c r="E145" i="4" s="1"/>
  <c r="F152" i="3" l="1"/>
  <c r="E152" i="3"/>
  <c r="C152" i="3"/>
  <c r="B152" i="3"/>
  <c r="H152" i="3" s="1"/>
  <c r="I151" i="3"/>
  <c r="D152" i="3"/>
  <c r="F146" i="4"/>
  <c r="I145" i="4"/>
  <c r="C146" i="4"/>
  <c r="B146" i="4" s="1"/>
  <c r="F153" i="3" l="1"/>
  <c r="E153" i="3"/>
  <c r="C153" i="3"/>
  <c r="B153" i="3"/>
  <c r="H153" i="3" s="1"/>
  <c r="I152" i="3"/>
  <c r="D153" i="3"/>
  <c r="H146" i="4"/>
  <c r="D146" i="4"/>
  <c r="E146" i="4" s="1"/>
  <c r="F154" i="3" l="1"/>
  <c r="C154" i="3"/>
  <c r="B154" i="3"/>
  <c r="H154" i="3" s="1"/>
  <c r="E154" i="3"/>
  <c r="D154" i="3"/>
  <c r="I153" i="3"/>
  <c r="C147" i="4"/>
  <c r="B147" i="4" s="1"/>
  <c r="I146" i="4"/>
  <c r="F147" i="4"/>
  <c r="I154" i="3" l="1"/>
  <c r="D155" i="3"/>
  <c r="B155" i="3"/>
  <c r="H155" i="3" s="1"/>
  <c r="C155" i="3"/>
  <c r="F155" i="3"/>
  <c r="E155" i="3"/>
  <c r="H147" i="4"/>
  <c r="D147" i="4"/>
  <c r="E147" i="4" s="1"/>
  <c r="C156" i="3" l="1"/>
  <c r="F156" i="3"/>
  <c r="E156" i="3"/>
  <c r="D156" i="3"/>
  <c r="B156" i="3"/>
  <c r="H156" i="3" s="1"/>
  <c r="I155" i="3"/>
  <c r="F148" i="4"/>
  <c r="C148" i="4"/>
  <c r="B148" i="4" s="1"/>
  <c r="I147" i="4"/>
  <c r="C157" i="3" l="1"/>
  <c r="F157" i="3"/>
  <c r="D157" i="3"/>
  <c r="B157" i="3"/>
  <c r="H157" i="3" s="1"/>
  <c r="E157" i="3"/>
  <c r="I156" i="3"/>
  <c r="H148" i="4"/>
  <c r="D148" i="4"/>
  <c r="E148" i="4" s="1"/>
  <c r="F158" i="3" l="1"/>
  <c r="E158" i="3"/>
  <c r="D158" i="3"/>
  <c r="I157" i="3"/>
  <c r="C158" i="3"/>
  <c r="B158" i="3"/>
  <c r="H158" i="3" s="1"/>
  <c r="I148" i="4"/>
  <c r="C149" i="4"/>
  <c r="B149" i="4"/>
  <c r="H149" i="4" s="1"/>
  <c r="F149" i="4"/>
  <c r="I158" i="3" l="1"/>
  <c r="E159" i="3"/>
  <c r="F159" i="3"/>
  <c r="B159" i="3"/>
  <c r="H159" i="3" s="1"/>
  <c r="D159" i="3"/>
  <c r="C159" i="3"/>
  <c r="D149" i="4"/>
  <c r="E149" i="4" s="1"/>
  <c r="E160" i="3" l="1"/>
  <c r="F160" i="3"/>
  <c r="D160" i="3"/>
  <c r="C160" i="3"/>
  <c r="I159" i="3"/>
  <c r="B160" i="3"/>
  <c r="H160" i="3" s="1"/>
  <c r="F150" i="4"/>
  <c r="C150" i="4"/>
  <c r="B150" i="4"/>
  <c r="H150" i="4" s="1"/>
  <c r="I149" i="4"/>
  <c r="D161" i="3" l="1"/>
  <c r="I160" i="3"/>
  <c r="F161" i="3"/>
  <c r="E161" i="3"/>
  <c r="C161" i="3"/>
  <c r="B161" i="3"/>
  <c r="H161" i="3" s="1"/>
  <c r="D150" i="4"/>
  <c r="E150" i="4" s="1"/>
  <c r="F162" i="3" l="1"/>
  <c r="E162" i="3"/>
  <c r="D162" i="3"/>
  <c r="B162" i="3"/>
  <c r="H162" i="3" s="1"/>
  <c r="I161" i="3"/>
  <c r="C162" i="3"/>
  <c r="F151" i="4"/>
  <c r="C151" i="4"/>
  <c r="B151" i="4" s="1"/>
  <c r="H151" i="4" s="1"/>
  <c r="I150" i="4"/>
  <c r="B163" i="3" l="1"/>
  <c r="H163" i="3" s="1"/>
  <c r="F163" i="3"/>
  <c r="E163" i="3"/>
  <c r="D163" i="3"/>
  <c r="C163" i="3"/>
  <c r="I162" i="3"/>
  <c r="D151" i="4"/>
  <c r="E151" i="4" s="1"/>
  <c r="D164" i="3" l="1"/>
  <c r="F164" i="3"/>
  <c r="E164" i="3"/>
  <c r="B164" i="3"/>
  <c r="H164" i="3" s="1"/>
  <c r="C164" i="3"/>
  <c r="I163" i="3"/>
  <c r="C152" i="4"/>
  <c r="I151" i="4"/>
  <c r="F152" i="4"/>
  <c r="B152" i="4"/>
  <c r="H152" i="4" s="1"/>
  <c r="I164" i="3" l="1"/>
  <c r="C165" i="3"/>
  <c r="F165" i="3"/>
  <c r="E165" i="3"/>
  <c r="D165" i="3"/>
  <c r="B165" i="3"/>
  <c r="H165" i="3" s="1"/>
  <c r="D152" i="4"/>
  <c r="E152" i="4" s="1"/>
  <c r="F166" i="3" l="1"/>
  <c r="D166" i="3"/>
  <c r="B166" i="3"/>
  <c r="H166" i="3" s="1"/>
  <c r="I165" i="3"/>
  <c r="C166" i="3"/>
  <c r="E166" i="3"/>
  <c r="F153" i="4"/>
  <c r="C153" i="4"/>
  <c r="I152" i="4"/>
  <c r="B153" i="4"/>
  <c r="I166" i="3" l="1"/>
  <c r="E167" i="3"/>
  <c r="B167" i="3"/>
  <c r="F167" i="3"/>
  <c r="D167" i="3"/>
  <c r="C167" i="3"/>
  <c r="H153" i="4"/>
  <c r="D153" i="4"/>
  <c r="E153" i="4" s="1"/>
  <c r="H167" i="3" l="1"/>
  <c r="D168" i="3"/>
  <c r="B168" i="3"/>
  <c r="H168" i="3" s="1"/>
  <c r="I167" i="3"/>
  <c r="F168" i="3"/>
  <c r="C168" i="3"/>
  <c r="E168" i="3"/>
  <c r="I153" i="4"/>
  <c r="C154" i="4"/>
  <c r="B154" i="4" s="1"/>
  <c r="F154" i="4"/>
  <c r="F169" i="3" l="1"/>
  <c r="D169" i="3"/>
  <c r="I168" i="3"/>
  <c r="E169" i="3"/>
  <c r="C169" i="3"/>
  <c r="B169" i="3"/>
  <c r="H154" i="4"/>
  <c r="D154" i="4"/>
  <c r="E154" i="4" s="1"/>
  <c r="H169" i="3" l="1"/>
  <c r="I169" i="3"/>
  <c r="F170" i="3"/>
  <c r="C170" i="3"/>
  <c r="E170" i="3"/>
  <c r="D170" i="3"/>
  <c r="B170" i="3"/>
  <c r="F155" i="4"/>
  <c r="I154" i="4"/>
  <c r="C155" i="4"/>
  <c r="B155" i="4" s="1"/>
  <c r="E171" i="3" l="1"/>
  <c r="I170" i="3"/>
  <c r="C171" i="3"/>
  <c r="D171" i="3"/>
  <c r="B171" i="3"/>
  <c r="F171" i="3"/>
  <c r="H170" i="3"/>
  <c r="H155" i="4"/>
  <c r="D155" i="4"/>
  <c r="E155" i="4" s="1"/>
  <c r="H171" i="3" l="1"/>
  <c r="F172" i="3"/>
  <c r="E172" i="3"/>
  <c r="B172" i="3"/>
  <c r="D172" i="3"/>
  <c r="I171" i="3"/>
  <c r="C172" i="3"/>
  <c r="C156" i="4"/>
  <c r="B156" i="4" s="1"/>
  <c r="I155" i="4"/>
  <c r="F156" i="4"/>
  <c r="H172" i="3" l="1"/>
  <c r="I172" i="3"/>
  <c r="F173" i="3"/>
  <c r="E173" i="3"/>
  <c r="C173" i="3"/>
  <c r="D173" i="3"/>
  <c r="B173" i="3"/>
  <c r="H156" i="4"/>
  <c r="D156" i="4"/>
  <c r="E156" i="4" s="1"/>
  <c r="E174" i="3" l="1"/>
  <c r="I173" i="3"/>
  <c r="B174" i="3"/>
  <c r="F174" i="3"/>
  <c r="D174" i="3"/>
  <c r="C174" i="3"/>
  <c r="H173" i="3"/>
  <c r="F157" i="4"/>
  <c r="C157" i="4"/>
  <c r="B157" i="4" s="1"/>
  <c r="I156" i="4"/>
  <c r="H174" i="3" l="1"/>
  <c r="D175" i="3"/>
  <c r="I174" i="3"/>
  <c r="C175" i="3"/>
  <c r="B175" i="3"/>
  <c r="F175" i="3"/>
  <c r="E175" i="3"/>
  <c r="H157" i="4"/>
  <c r="D157" i="4"/>
  <c r="E157" i="4" s="1"/>
  <c r="E176" i="3" l="1"/>
  <c r="D176" i="3"/>
  <c r="C176" i="3"/>
  <c r="I175" i="3"/>
  <c r="F176" i="3"/>
  <c r="B176" i="3"/>
  <c r="H176" i="3" s="1"/>
  <c r="H175" i="3"/>
  <c r="C158" i="4"/>
  <c r="B158" i="4" s="1"/>
  <c r="I157" i="4"/>
  <c r="F158" i="4"/>
  <c r="B177" i="3" l="1"/>
  <c r="H177" i="3" s="1"/>
  <c r="F177" i="3"/>
  <c r="C177" i="3"/>
  <c r="E177" i="3"/>
  <c r="I176" i="3"/>
  <c r="D177" i="3"/>
  <c r="H158" i="4"/>
  <c r="D158" i="4"/>
  <c r="E158" i="4" s="1"/>
  <c r="B178" i="3" l="1"/>
  <c r="H178" i="3" s="1"/>
  <c r="I177" i="3"/>
  <c r="E178" i="3"/>
  <c r="F178" i="3"/>
  <c r="D178" i="3"/>
  <c r="C178" i="3"/>
  <c r="C159" i="4"/>
  <c r="B159" i="4"/>
  <c r="F159" i="4"/>
  <c r="I158" i="4"/>
  <c r="D159" i="4"/>
  <c r="E159" i="4" s="1"/>
  <c r="F179" i="3" l="1"/>
  <c r="E179" i="3"/>
  <c r="D179" i="3"/>
  <c r="C179" i="3"/>
  <c r="B179" i="3"/>
  <c r="H179" i="3" s="1"/>
  <c r="I178" i="3"/>
  <c r="F160" i="4"/>
  <c r="C160" i="4"/>
  <c r="B160" i="4"/>
  <c r="H160" i="4" s="1"/>
  <c r="I159" i="4"/>
  <c r="H159" i="4"/>
  <c r="F180" i="3" l="1"/>
  <c r="B180" i="3"/>
  <c r="H180" i="3" s="1"/>
  <c r="D180" i="3"/>
  <c r="C180" i="3"/>
  <c r="I179" i="3"/>
  <c r="E180" i="3"/>
  <c r="D160" i="4"/>
  <c r="E160" i="4" s="1"/>
  <c r="B181" i="3" l="1"/>
  <c r="H181" i="3" s="1"/>
  <c r="F181" i="3"/>
  <c r="D181" i="3"/>
  <c r="I180" i="3"/>
  <c r="C181" i="3"/>
  <c r="E181" i="3"/>
  <c r="I160" i="4"/>
  <c r="F161" i="4"/>
  <c r="C161" i="4"/>
  <c r="B161" i="4" s="1"/>
  <c r="I181" i="3" l="1"/>
  <c r="E182" i="3"/>
  <c r="D182" i="3"/>
  <c r="F182" i="3"/>
  <c r="C182" i="3"/>
  <c r="B182" i="3"/>
  <c r="H182" i="3" s="1"/>
  <c r="H161" i="4"/>
  <c r="D161" i="4"/>
  <c r="E161" i="4" s="1"/>
  <c r="D183" i="3" l="1"/>
  <c r="C183" i="3"/>
  <c r="B183" i="3"/>
  <c r="H183" i="3" s="1"/>
  <c r="E183" i="3"/>
  <c r="F183" i="3"/>
  <c r="I182" i="3"/>
  <c r="F162" i="4"/>
  <c r="C162" i="4"/>
  <c r="I161" i="4"/>
  <c r="B162" i="4"/>
  <c r="H162" i="4" s="1"/>
  <c r="I183" i="3" l="1"/>
  <c r="F184" i="3"/>
  <c r="E184" i="3"/>
  <c r="D184" i="3"/>
  <c r="B184" i="3"/>
  <c r="H184" i="3" s="1"/>
  <c r="C184" i="3"/>
  <c r="D162" i="4"/>
  <c r="E162" i="4" s="1"/>
  <c r="C185" i="3" l="1"/>
  <c r="E185" i="3"/>
  <c r="D185" i="3"/>
  <c r="B185" i="3"/>
  <c r="H185" i="3" s="1"/>
  <c r="F185" i="3"/>
  <c r="I184" i="3"/>
  <c r="C163" i="4"/>
  <c r="B163" i="4"/>
  <c r="I162" i="4"/>
  <c r="F163" i="4"/>
  <c r="D163" i="4"/>
  <c r="E163" i="4" s="1"/>
  <c r="B186" i="3" l="1"/>
  <c r="H186" i="3" s="1"/>
  <c r="D186" i="3"/>
  <c r="F186" i="3"/>
  <c r="C186" i="3"/>
  <c r="I185" i="3"/>
  <c r="E186" i="3"/>
  <c r="C164" i="4"/>
  <c r="I163" i="4"/>
  <c r="B164" i="4"/>
  <c r="F164" i="4"/>
  <c r="H163" i="4"/>
  <c r="B187" i="3" l="1"/>
  <c r="H187" i="3" s="1"/>
  <c r="E187" i="3"/>
  <c r="I186" i="3"/>
  <c r="D187" i="3"/>
  <c r="C187" i="3"/>
  <c r="F187" i="3"/>
  <c r="H164" i="4"/>
  <c r="D164" i="4"/>
  <c r="E164" i="4" s="1"/>
  <c r="E188" i="3" l="1"/>
  <c r="D188" i="3"/>
  <c r="C188" i="3"/>
  <c r="F188" i="3"/>
  <c r="B188" i="3"/>
  <c r="H188" i="3" s="1"/>
  <c r="I187" i="3"/>
  <c r="F165" i="4"/>
  <c r="C165" i="4"/>
  <c r="B165" i="4"/>
  <c r="H165" i="4" s="1"/>
  <c r="I164" i="4"/>
  <c r="I188" i="3" l="1"/>
  <c r="E189" i="3"/>
  <c r="B189" i="3"/>
  <c r="H189" i="3" s="1"/>
  <c r="D189" i="3"/>
  <c r="C189" i="3"/>
  <c r="F189" i="3"/>
  <c r="D165" i="4"/>
  <c r="E165" i="4" s="1"/>
  <c r="F190" i="3" l="1"/>
  <c r="E190" i="3"/>
  <c r="C190" i="3"/>
  <c r="I189" i="3"/>
  <c r="D190" i="3"/>
  <c r="B190" i="3"/>
  <c r="H190" i="3" s="1"/>
  <c r="I165" i="4"/>
  <c r="F166" i="4"/>
  <c r="C166" i="4"/>
  <c r="B166" i="4" s="1"/>
  <c r="F191" i="3" l="1"/>
  <c r="D191" i="3"/>
  <c r="C191" i="3"/>
  <c r="B191" i="3"/>
  <c r="H191" i="3" s="1"/>
  <c r="I190" i="3"/>
  <c r="E191" i="3"/>
  <c r="H166" i="4"/>
  <c r="D166" i="4"/>
  <c r="E166" i="4" s="1"/>
  <c r="B192" i="3" l="1"/>
  <c r="H192" i="3" s="1"/>
  <c r="E192" i="3"/>
  <c r="D192" i="3"/>
  <c r="C192" i="3"/>
  <c r="I191" i="3"/>
  <c r="F192" i="3"/>
  <c r="F167" i="4"/>
  <c r="C167" i="4"/>
  <c r="B167" i="4" s="1"/>
  <c r="H167" i="4" s="1"/>
  <c r="I166" i="4"/>
  <c r="F193" i="3" l="1"/>
  <c r="D193" i="3"/>
  <c r="B193" i="3"/>
  <c r="H193" i="3" s="1"/>
  <c r="I192" i="3"/>
  <c r="E193" i="3"/>
  <c r="C193" i="3"/>
  <c r="D167" i="4"/>
  <c r="E167" i="4" s="1"/>
  <c r="C194" i="3" l="1"/>
  <c r="E194" i="3"/>
  <c r="I193" i="3"/>
  <c r="B194" i="3"/>
  <c r="H194" i="3" s="1"/>
  <c r="F194" i="3"/>
  <c r="D194" i="3"/>
  <c r="I167" i="4"/>
  <c r="F168" i="4"/>
  <c r="C168" i="4"/>
  <c r="B168" i="4"/>
  <c r="H168" i="4" s="1"/>
  <c r="B195" i="3" l="1"/>
  <c r="H195" i="3" s="1"/>
  <c r="E195" i="3"/>
  <c r="F195" i="3"/>
  <c r="C195" i="3"/>
  <c r="I194" i="3"/>
  <c r="D195" i="3"/>
  <c r="D168" i="4"/>
  <c r="E168" i="4" s="1"/>
  <c r="E196" i="3" l="1"/>
  <c r="D196" i="3"/>
  <c r="C196" i="3"/>
  <c r="B196" i="3"/>
  <c r="H196" i="3" s="1"/>
  <c r="I195" i="3"/>
  <c r="F196" i="3"/>
  <c r="F169" i="4"/>
  <c r="C169" i="4"/>
  <c r="B169" i="4" s="1"/>
  <c r="I168" i="4"/>
  <c r="I196" i="3" l="1"/>
  <c r="F197" i="3"/>
  <c r="D197" i="3"/>
  <c r="C197" i="3"/>
  <c r="B197" i="3"/>
  <c r="H197" i="3" s="1"/>
  <c r="E197" i="3"/>
  <c r="H169" i="4"/>
  <c r="D169" i="4"/>
  <c r="E169" i="4" s="1"/>
  <c r="F198" i="3" l="1"/>
  <c r="D198" i="3"/>
  <c r="C198" i="3"/>
  <c r="I197" i="3"/>
  <c r="B198" i="3"/>
  <c r="H198" i="3" s="1"/>
  <c r="E198" i="3"/>
  <c r="I169" i="4"/>
  <c r="F170" i="4"/>
  <c r="C170" i="4"/>
  <c r="B170" i="4" s="1"/>
  <c r="D199" i="3" l="1"/>
  <c r="C199" i="3"/>
  <c r="B199" i="3"/>
  <c r="H199" i="3" s="1"/>
  <c r="E199" i="3"/>
  <c r="F199" i="3"/>
  <c r="I198" i="3"/>
  <c r="H170" i="4"/>
  <c r="D170" i="4"/>
  <c r="E170" i="4" s="1"/>
  <c r="B200" i="3" l="1"/>
  <c r="H200" i="3" s="1"/>
  <c r="I199" i="3"/>
  <c r="F200" i="3"/>
  <c r="E200" i="3"/>
  <c r="D200" i="3"/>
  <c r="C200" i="3"/>
  <c r="C171" i="4"/>
  <c r="B171" i="4"/>
  <c r="D171" i="4" s="1"/>
  <c r="E171" i="4" s="1"/>
  <c r="F171" i="4"/>
  <c r="I170" i="4"/>
  <c r="E201" i="3" l="1"/>
  <c r="D201" i="3"/>
  <c r="B201" i="3"/>
  <c r="H201" i="3" s="1"/>
  <c r="I200" i="3"/>
  <c r="F201" i="3"/>
  <c r="C201" i="3"/>
  <c r="C172" i="4"/>
  <c r="B172" i="4" s="1"/>
  <c r="I171" i="4"/>
  <c r="F172" i="4"/>
  <c r="H171" i="4"/>
  <c r="I201" i="3" l="1"/>
  <c r="F202" i="3"/>
  <c r="E202" i="3"/>
  <c r="B202" i="3"/>
  <c r="H202" i="3" s="1"/>
  <c r="C202" i="3"/>
  <c r="D202" i="3"/>
  <c r="H172" i="4"/>
  <c r="D172" i="4"/>
  <c r="E172" i="4" s="1"/>
  <c r="D203" i="3" l="1"/>
  <c r="F203" i="3"/>
  <c r="C203" i="3"/>
  <c r="I202" i="3"/>
  <c r="B203" i="3"/>
  <c r="H203" i="3" s="1"/>
  <c r="E203" i="3"/>
  <c r="I172" i="4"/>
  <c r="C173" i="4"/>
  <c r="B173" i="4" s="1"/>
  <c r="H173" i="4" s="1"/>
  <c r="F173" i="4"/>
  <c r="E204" i="3" l="1"/>
  <c r="D204" i="3"/>
  <c r="F204" i="3"/>
  <c r="B204" i="3"/>
  <c r="H204" i="3" s="1"/>
  <c r="C204" i="3"/>
  <c r="I203" i="3"/>
  <c r="D173" i="4"/>
  <c r="E173" i="4" s="1"/>
  <c r="E205" i="3" l="1"/>
  <c r="I204" i="3"/>
  <c r="F205" i="3"/>
  <c r="B205" i="3"/>
  <c r="H205" i="3" s="1"/>
  <c r="D205" i="3"/>
  <c r="C205" i="3"/>
  <c r="F174" i="4"/>
  <c r="C174" i="4"/>
  <c r="B174" i="4"/>
  <c r="H174" i="4" s="1"/>
  <c r="I173" i="4"/>
  <c r="C206" i="3" l="1"/>
  <c r="D206" i="3"/>
  <c r="I205" i="3"/>
  <c r="E206" i="3"/>
  <c r="B206" i="3"/>
  <c r="H206" i="3" s="1"/>
  <c r="F206" i="3"/>
  <c r="D174" i="4"/>
  <c r="E174" i="4" s="1"/>
  <c r="C207" i="3" l="1"/>
  <c r="I206" i="3"/>
  <c r="B207" i="3"/>
  <c r="H207" i="3" s="1"/>
  <c r="E207" i="3"/>
  <c r="D207" i="3"/>
  <c r="F207" i="3"/>
  <c r="F175" i="4"/>
  <c r="C175" i="4"/>
  <c r="B175" i="4" s="1"/>
  <c r="I174" i="4"/>
  <c r="D208" i="3" l="1"/>
  <c r="C208" i="3"/>
  <c r="B208" i="3"/>
  <c r="H208" i="3" s="1"/>
  <c r="I207" i="3"/>
  <c r="F208" i="3"/>
  <c r="E208" i="3"/>
  <c r="H175" i="4"/>
  <c r="D175" i="4"/>
  <c r="E175" i="4" s="1"/>
  <c r="E209" i="3" l="1"/>
  <c r="D209" i="3"/>
  <c r="I208" i="3"/>
  <c r="F209" i="3"/>
  <c r="C209" i="3"/>
  <c r="B209" i="3"/>
  <c r="H209" i="3" s="1"/>
  <c r="C176" i="4"/>
  <c r="I175" i="4"/>
  <c r="F176" i="4"/>
  <c r="B176" i="4"/>
  <c r="H176" i="4" s="1"/>
  <c r="E210" i="3" l="1"/>
  <c r="F210" i="3"/>
  <c r="D210" i="3"/>
  <c r="C210" i="3"/>
  <c r="I209" i="3"/>
  <c r="B210" i="3"/>
  <c r="H210" i="3" s="1"/>
  <c r="D176" i="4"/>
  <c r="E176" i="4" s="1"/>
  <c r="C211" i="3" l="1"/>
  <c r="E211" i="3"/>
  <c r="F211" i="3"/>
  <c r="D211" i="3"/>
  <c r="B211" i="3"/>
  <c r="H211" i="3" s="1"/>
  <c r="I210" i="3"/>
  <c r="F177" i="4"/>
  <c r="I176" i="4"/>
  <c r="C177" i="4"/>
  <c r="B177" i="4"/>
  <c r="H177" i="4" s="1"/>
  <c r="C212" i="3" l="1"/>
  <c r="B212" i="3"/>
  <c r="H212" i="3" s="1"/>
  <c r="I211" i="3"/>
  <c r="D212" i="3"/>
  <c r="E212" i="3"/>
  <c r="F212" i="3"/>
  <c r="D177" i="4"/>
  <c r="E177" i="4" s="1"/>
  <c r="C213" i="3" l="1"/>
  <c r="F213" i="3"/>
  <c r="E213" i="3"/>
  <c r="D213" i="3"/>
  <c r="I212" i="3"/>
  <c r="B213" i="3"/>
  <c r="H213" i="3" s="1"/>
  <c r="I177" i="4"/>
  <c r="F178" i="4"/>
  <c r="C178" i="4"/>
  <c r="B178" i="4" s="1"/>
  <c r="I213" i="3" l="1"/>
  <c r="F214" i="3"/>
  <c r="D214" i="3"/>
  <c r="C214" i="3"/>
  <c r="B214" i="3"/>
  <c r="H214" i="3" s="1"/>
  <c r="E214" i="3"/>
  <c r="H178" i="4"/>
  <c r="D178" i="4"/>
  <c r="E178" i="4" s="1"/>
  <c r="I214" i="3" l="1"/>
  <c r="D215" i="3"/>
  <c r="C215" i="3"/>
  <c r="B215" i="3"/>
  <c r="H215" i="3" s="1"/>
  <c r="F215" i="3"/>
  <c r="E215" i="3"/>
  <c r="F179" i="4"/>
  <c r="C179" i="4"/>
  <c r="B179" i="4" s="1"/>
  <c r="I178" i="4"/>
  <c r="I215" i="3" l="1"/>
  <c r="C216" i="3"/>
  <c r="C217" i="3" s="1"/>
  <c r="E216" i="3"/>
  <c r="I216" i="3" s="1"/>
  <c r="F216" i="3"/>
  <c r="F217" i="3" s="1"/>
  <c r="D216" i="3"/>
  <c r="D217" i="3" s="1"/>
  <c r="B216" i="3"/>
  <c r="H179" i="4"/>
  <c r="D179" i="4"/>
  <c r="E179" i="4" s="1"/>
  <c r="H216" i="3" l="1"/>
  <c r="H217" i="3" s="1"/>
  <c r="B224" i="3"/>
  <c r="E12" i="3"/>
  <c r="B217" i="3"/>
  <c r="E11" i="3"/>
  <c r="B13" i="3"/>
  <c r="D25" i="2" s="1"/>
  <c r="B221" i="3"/>
  <c r="I6" i="2"/>
  <c r="H12" i="3"/>
  <c r="J6" i="2"/>
  <c r="B222" i="3"/>
  <c r="C180" i="4"/>
  <c r="I179" i="4"/>
  <c r="F180" i="4"/>
  <c r="B180" i="4"/>
  <c r="H180" i="4" s="1"/>
  <c r="B226" i="3" l="1"/>
  <c r="D28" i="2"/>
  <c r="B223" i="3"/>
  <c r="B225" i="3"/>
  <c r="D180" i="4"/>
  <c r="E180" i="4" s="1"/>
  <c r="F181" i="4" l="1"/>
  <c r="C181" i="4"/>
  <c r="B181" i="4" s="1"/>
  <c r="I180" i="4"/>
  <c r="H181" i="4" l="1"/>
  <c r="D181" i="4"/>
  <c r="E181" i="4" s="1"/>
  <c r="I181" i="4" l="1"/>
  <c r="F182" i="4"/>
  <c r="C182" i="4"/>
  <c r="B182" i="4"/>
  <c r="H182" i="4" s="1"/>
  <c r="D182" i="4" l="1"/>
  <c r="E182" i="4" s="1"/>
  <c r="C183" i="4" l="1"/>
  <c r="B183" i="4"/>
  <c r="H183" i="4" s="1"/>
  <c r="F183" i="4"/>
  <c r="I182" i="4"/>
  <c r="D183" i="4" l="1"/>
  <c r="E183" i="4" s="1"/>
  <c r="C184" i="4" l="1"/>
  <c r="B184" i="4" s="1"/>
  <c r="D184" i="4" s="1"/>
  <c r="E184" i="4" s="1"/>
  <c r="I183" i="4"/>
  <c r="F184" i="4"/>
  <c r="I184" i="4" l="1"/>
  <c r="F185" i="4"/>
  <c r="C185" i="4"/>
  <c r="B185" i="4" s="1"/>
  <c r="H184" i="4"/>
  <c r="H185" i="4" l="1"/>
  <c r="D185" i="4"/>
  <c r="E185" i="4" s="1"/>
  <c r="F186" i="4" l="1"/>
  <c r="C186" i="4"/>
  <c r="I185" i="4"/>
  <c r="B186" i="4"/>
  <c r="H186" i="4" s="1"/>
  <c r="D186" i="4" l="1"/>
  <c r="E186" i="4" s="1"/>
  <c r="F187" i="4" l="1"/>
  <c r="I186" i="4"/>
  <c r="C187" i="4"/>
  <c r="B187" i="4" s="1"/>
  <c r="H187" i="4" l="1"/>
  <c r="D187" i="4"/>
  <c r="E187" i="4" s="1"/>
  <c r="C188" i="4" l="1"/>
  <c r="I187" i="4"/>
  <c r="B188" i="4"/>
  <c r="F188" i="4"/>
  <c r="H188" i="4" l="1"/>
  <c r="D188" i="4"/>
  <c r="E188" i="4" s="1"/>
  <c r="C189" i="4" l="1"/>
  <c r="F189" i="4"/>
  <c r="B189" i="4"/>
  <c r="H189" i="4" s="1"/>
  <c r="I188" i="4"/>
  <c r="D189" i="4" l="1"/>
  <c r="E189" i="4" s="1"/>
  <c r="C190" i="4" s="1"/>
  <c r="B190" i="4" s="1"/>
  <c r="D190" i="4" s="1"/>
  <c r="E190" i="4" s="1"/>
  <c r="F190" i="4"/>
  <c r="I189" i="4"/>
  <c r="I190" i="4" l="1"/>
  <c r="F191" i="4"/>
  <c r="C191" i="4"/>
  <c r="B191" i="4" s="1"/>
  <c r="H190" i="4"/>
  <c r="H191" i="4" l="1"/>
  <c r="D191" i="4"/>
  <c r="E191" i="4" s="1"/>
  <c r="F192" i="4" l="1"/>
  <c r="C192" i="4"/>
  <c r="I191" i="4"/>
  <c r="B192" i="4"/>
  <c r="H192" i="4" s="1"/>
  <c r="D192" i="4" l="1"/>
  <c r="E192" i="4" s="1"/>
  <c r="C193" i="4" l="1"/>
  <c r="B193" i="4"/>
  <c r="I192" i="4"/>
  <c r="F193" i="4"/>
  <c r="D193" i="4"/>
  <c r="E193" i="4" s="1"/>
  <c r="C194" i="4" l="1"/>
  <c r="B194" i="4" s="1"/>
  <c r="F194" i="4"/>
  <c r="I193" i="4"/>
  <c r="H193" i="4"/>
  <c r="H194" i="4" l="1"/>
  <c r="D194" i="4"/>
  <c r="E194" i="4" s="1"/>
  <c r="I194" i="4" l="1"/>
  <c r="F195" i="4"/>
  <c r="C195" i="4"/>
  <c r="B195" i="4" s="1"/>
  <c r="H195" i="4" l="1"/>
  <c r="D195" i="4"/>
  <c r="E195" i="4" s="1"/>
  <c r="C196" i="4" l="1"/>
  <c r="B196" i="4" s="1"/>
  <c r="I195" i="4"/>
  <c r="F196" i="4"/>
  <c r="H196" i="4" l="1"/>
  <c r="D196" i="4"/>
  <c r="E196" i="4" s="1"/>
  <c r="F197" i="4" l="1"/>
  <c r="B197" i="4"/>
  <c r="H197" i="4" s="1"/>
  <c r="I196" i="4"/>
  <c r="E197" i="4"/>
  <c r="C197" i="4"/>
  <c r="D197" i="4"/>
  <c r="I197" i="4" l="1"/>
  <c r="E198" i="4"/>
  <c r="F198" i="4"/>
  <c r="C198" i="4"/>
  <c r="B198" i="4"/>
  <c r="H198" i="4" s="1"/>
  <c r="D198" i="4"/>
  <c r="F199" i="4" l="1"/>
  <c r="E199" i="4"/>
  <c r="D199" i="4"/>
  <c r="C199" i="4"/>
  <c r="B199" i="4"/>
  <c r="H199" i="4" s="1"/>
  <c r="I198" i="4"/>
  <c r="F200" i="4" l="1"/>
  <c r="B200" i="4"/>
  <c r="H200" i="4" s="1"/>
  <c r="I199" i="4"/>
  <c r="D200" i="4"/>
  <c r="C200" i="4"/>
  <c r="E200" i="4"/>
  <c r="D201" i="4" l="1"/>
  <c r="C201" i="4"/>
  <c r="B201" i="4"/>
  <c r="H201" i="4" s="1"/>
  <c r="F201" i="4"/>
  <c r="I200" i="4"/>
  <c r="E201" i="4"/>
  <c r="F202" i="4" l="1"/>
  <c r="E202" i="4"/>
  <c r="D202" i="4"/>
  <c r="C202" i="4"/>
  <c r="I201" i="4"/>
  <c r="B202" i="4"/>
  <c r="H202" i="4" s="1"/>
  <c r="B203" i="4" l="1"/>
  <c r="H203" i="4" s="1"/>
  <c r="I202" i="4"/>
  <c r="E203" i="4"/>
  <c r="C203" i="4"/>
  <c r="D203" i="4"/>
  <c r="F203" i="4"/>
  <c r="F204" i="4" l="1"/>
  <c r="E204" i="4"/>
  <c r="I203" i="4"/>
  <c r="D204" i="4"/>
  <c r="B204" i="4"/>
  <c r="H204" i="4" s="1"/>
  <c r="C204" i="4"/>
  <c r="F205" i="4" l="1"/>
  <c r="D205" i="4"/>
  <c r="E205" i="4"/>
  <c r="B205" i="4"/>
  <c r="H205" i="4" s="1"/>
  <c r="I204" i="4"/>
  <c r="C205" i="4"/>
  <c r="E206" i="4" l="1"/>
  <c r="D206" i="4"/>
  <c r="C206" i="4"/>
  <c r="B206" i="4"/>
  <c r="H206" i="4" s="1"/>
  <c r="I205" i="4"/>
  <c r="F206" i="4"/>
  <c r="E207" i="4" l="1"/>
  <c r="I206" i="4"/>
  <c r="F207" i="4"/>
  <c r="C207" i="4"/>
  <c r="D207" i="4"/>
  <c r="B207" i="4"/>
  <c r="H207" i="4" s="1"/>
  <c r="C208" i="4" l="1"/>
  <c r="B208" i="4"/>
  <c r="H208" i="4" s="1"/>
  <c r="I207" i="4"/>
  <c r="F208" i="4"/>
  <c r="E208" i="4"/>
  <c r="D208" i="4"/>
  <c r="F209" i="4" l="1"/>
  <c r="E209" i="4"/>
  <c r="D209" i="4"/>
  <c r="C209" i="4"/>
  <c r="B209" i="4"/>
  <c r="H209" i="4" s="1"/>
  <c r="I208" i="4"/>
  <c r="I209" i="4" l="1"/>
  <c r="F210" i="4"/>
  <c r="D210" i="4"/>
  <c r="B210" i="4"/>
  <c r="H210" i="4" s="1"/>
  <c r="C210" i="4"/>
  <c r="E210" i="4"/>
  <c r="F211" i="4" l="1"/>
  <c r="E211" i="4"/>
  <c r="D211" i="4"/>
  <c r="C211" i="4"/>
  <c r="I210" i="4"/>
  <c r="B211" i="4"/>
  <c r="H211" i="4" s="1"/>
  <c r="E212" i="4" l="1"/>
  <c r="C212" i="4"/>
  <c r="F212" i="4"/>
  <c r="D212" i="4"/>
  <c r="I211" i="4"/>
  <c r="B212" i="4"/>
  <c r="H212" i="4" s="1"/>
  <c r="D213" i="4" l="1"/>
  <c r="C213" i="4"/>
  <c r="B213" i="4"/>
  <c r="H213" i="4" s="1"/>
  <c r="I212" i="4"/>
  <c r="F213" i="4"/>
  <c r="E213" i="4"/>
  <c r="F214" i="4" l="1"/>
  <c r="D214" i="4"/>
  <c r="E214" i="4"/>
  <c r="B214" i="4"/>
  <c r="H214" i="4" s="1"/>
  <c r="I213" i="4"/>
  <c r="C214" i="4"/>
  <c r="B215" i="4" l="1"/>
  <c r="H215" i="4" s="1"/>
  <c r="I214" i="4"/>
  <c r="E215" i="4"/>
  <c r="D215" i="4"/>
  <c r="F215" i="4"/>
  <c r="C215" i="4"/>
  <c r="F216" i="4" l="1"/>
  <c r="F217" i="4" s="1"/>
  <c r="E216" i="4"/>
  <c r="I216" i="4" s="1"/>
  <c r="D216" i="4"/>
  <c r="D217" i="4" s="1"/>
  <c r="C216" i="4"/>
  <c r="C217" i="4" s="1"/>
  <c r="B216" i="4"/>
  <c r="I215" i="4"/>
  <c r="B221" i="4" l="1"/>
  <c r="I7" i="2"/>
  <c r="I9" i="2" s="1"/>
  <c r="H12" i="4"/>
  <c r="H216" i="4"/>
  <c r="H217" i="4" s="1"/>
  <c r="B217" i="4"/>
  <c r="B13" i="4"/>
  <c r="D26" i="2" s="1"/>
  <c r="B224" i="4"/>
  <c r="E11" i="4"/>
  <c r="E12" i="4"/>
  <c r="B226" i="4" s="1"/>
  <c r="B222" i="4"/>
  <c r="J7" i="2"/>
  <c r="J9" i="2" s="1"/>
  <c r="E13" i="2" s="1"/>
  <c r="B223" i="4" l="1"/>
  <c r="B225" i="4"/>
  <c r="E12" i="2"/>
  <c r="E14" i="2"/>
</calcChain>
</file>

<file path=xl/sharedStrings.xml><?xml version="1.0" encoding="utf-8"?>
<sst xmlns="http://schemas.openxmlformats.org/spreadsheetml/2006/main" count="820" uniqueCount="124">
  <si>
    <t>LOAN AMORTIZATION CALCULATOR - USER GUIDE</t>
  </si>
  <si>
    <t>OVERVIEW</t>
  </si>
  <si>
    <t>This spreadsheet helps you track multiple loans, calculate payments, and visualize your debt payoff journey.</t>
  </si>
  <si>
    <t>HOW TO USE</t>
  </si>
  <si>
    <t>1. Go to each Credit tab (Credit_1, Credit_2, Credit_3) and enter your loan details in the YELLOW cells.</t>
  </si>
  <si>
    <t>2. The spreadsheet will automatically calculate monthly payments, interest, and amortization schedule.</t>
  </si>
  <si>
    <t>3. Use the 'Extra Payment' column to simulate additional principal payments and see how much you save.</t>
  </si>
  <si>
    <t>4. Mark payments as 'Yes' in the 'Paid' column to track your progress.</t>
  </si>
  <si>
    <t>5. The Dashboard tab shows a consolidated view of all your loans automatically.</t>
  </si>
  <si>
    <t>6. Adjust the monthly payment amount to see different payoff scenarios.</t>
  </si>
  <si>
    <t>COLOR LEGEND</t>
  </si>
  <si>
    <t>YELLOW cells</t>
  </si>
  <si>
    <t>Editable - Enter your data here</t>
  </si>
  <si>
    <t>WHITE cells</t>
  </si>
  <si>
    <t>Calculated automatically - Do not edit</t>
  </si>
  <si>
    <t>KEY FEATURES</t>
  </si>
  <si>
    <t>- Supports multiple loans with different interest rates and terms</t>
  </si>
  <si>
    <t>- Calculates total interest paid over the life of each loan</t>
  </si>
  <si>
    <t>- Shows the impact of extra payments on total interest and payoff date</t>
  </si>
  <si>
    <t>- Dashboard provides consolidated view of all debts</t>
  </si>
  <si>
    <t>- Payment prioritization recommendations based on interest rates</t>
  </si>
  <si>
    <t>- Monthly cash flow summary by payment date</t>
  </si>
  <si>
    <t>TIPS FOR PAYING OFF DEBT FASTER</t>
  </si>
  <si>
    <t>1. Pay off highest interest rate loans first (Avalanche Method)</t>
  </si>
  <si>
    <t>2. Any extra payment goes 100% to principal, reducing future interest</t>
  </si>
  <si>
    <t>3. Even small extra payments make a big difference over time</t>
  </si>
  <si>
    <t>4. Consider refinancing high-interest loans if possible</t>
  </si>
  <si>
    <t>5. Automate payments to avoid late fees and maintain good credit</t>
  </si>
  <si>
    <t>CREATED BY</t>
  </si>
  <si>
    <t>Juan Perea Possos</t>
  </si>
  <si>
    <t>LinkedIn: linkedin.com/in/juanpereapossos</t>
  </si>
  <si>
    <t>GitHub: github.com/IngRetrius</t>
  </si>
  <si>
    <t>Free to use and share</t>
  </si>
  <si>
    <t>DEBT DASHBOARD - CONSOLIDATED VIEW</t>
  </si>
  <si>
    <t>All data updates automatically from individual credit sheets</t>
  </si>
  <si>
    <t>1. LOAN SUMMARY</t>
  </si>
  <si>
    <t>Loan</t>
  </si>
  <si>
    <t>Principal</t>
  </si>
  <si>
    <t>Rate</t>
  </si>
  <si>
    <t>Payment</t>
  </si>
  <si>
    <t>Fees</t>
  </si>
  <si>
    <t>Total Monthly</t>
  </si>
  <si>
    <t>Months Left</t>
  </si>
  <si>
    <t>Payoff Date</t>
  </si>
  <si>
    <t>Total Interest</t>
  </si>
  <si>
    <t>Total Fees</t>
  </si>
  <si>
    <t>Rank</t>
  </si>
  <si>
    <t>TOTAL</t>
  </si>
  <si>
    <t>2. CONSOLIDATED METRICS</t>
  </si>
  <si>
    <t>Total Debt:</t>
  </si>
  <si>
    <t>Total Interest to Pay:</t>
  </si>
  <si>
    <t>Monthly Payment (excl. fees):</t>
  </si>
  <si>
    <t>Total Fees to Pay:</t>
  </si>
  <si>
    <t>Monthly Fees:</t>
  </si>
  <si>
    <t>Grand Total to Pay:</t>
  </si>
  <si>
    <t>True Monthly Cost:</t>
  </si>
  <si>
    <t>3. PAYMENT PRIORITY (Highest Rate First = Avalanche Method)</t>
  </si>
  <si>
    <t>Priority</t>
  </si>
  <si>
    <t>Interest Rate</t>
  </si>
  <si>
    <t>Balance</t>
  </si>
  <si>
    <t>Recommendation</t>
  </si>
  <si>
    <t>1</t>
  </si>
  <si>
    <t>HIGH PRIORITY - Pay extra here first</t>
  </si>
  <si>
    <t>2</t>
  </si>
  <si>
    <t>MEDIUM PRIORITY</t>
  </si>
  <si>
    <t>3</t>
  </si>
  <si>
    <t>LOWER PRIORITY - Lowest rate</t>
  </si>
  <si>
    <t>4. PAYMENT PROGRESS</t>
  </si>
  <si>
    <t>Payments Made</t>
  </si>
  <si>
    <t>Amount Paid</t>
  </si>
  <si>
    <t>Progress</t>
  </si>
  <si>
    <t>Remaining Balance</t>
  </si>
  <si>
    <t>Created by Juan Perea Possos | linkedin.com/in/juanpereapossos | Free to use and share</t>
  </si>
  <si>
    <t>LOAN AMORTIZATION SCHEDULE - CREDIT 1</t>
  </si>
  <si>
    <t>LOAN DETAILS</t>
  </si>
  <si>
    <t>Loan Name:</t>
  </si>
  <si>
    <t>Car Loan</t>
  </si>
  <si>
    <t>Monthly Rate:</t>
  </si>
  <si>
    <t>Loan Type:</t>
  </si>
  <si>
    <t>Auto</t>
  </si>
  <si>
    <t>Principal Amount:</t>
  </si>
  <si>
    <t>Monthly Payment:</t>
  </si>
  <si>
    <t>Monthly Fees/Insurance:</t>
  </si>
  <si>
    <t>Annual Interest Rate (EA):</t>
  </si>
  <si>
    <t>Total to Pay:</t>
  </si>
  <si>
    <t>Loan Term (months):</t>
  </si>
  <si>
    <t>Total Interest:</t>
  </si>
  <si>
    <t>First Payment Date:</t>
  </si>
  <si>
    <t>2025-01-15</t>
  </si>
  <si>
    <t>PROGRESS TRACKING</t>
  </si>
  <si>
    <t>PROJECTIONS</t>
  </si>
  <si>
    <t>SAVINGS</t>
  </si>
  <si>
    <t>Payments Made:</t>
  </si>
  <si>
    <t>Estimated Payoff Date:</t>
  </si>
  <si>
    <t>Extra Monthly Payment:</t>
  </si>
  <si>
    <t>Amount Paid So Far:</t>
  </si>
  <si>
    <t>Total Months:</t>
  </si>
  <si>
    <t>Interest Savings:</t>
  </si>
  <si>
    <t>Progress:</t>
  </si>
  <si>
    <t>Remaining Balance:</t>
  </si>
  <si>
    <t>Enter extra payments in the 'Extra Payment' column (yellow) to see how much you can save.</t>
  </si>
  <si>
    <t>Month</t>
  </si>
  <si>
    <t>Interest</t>
  </si>
  <si>
    <t>Extra Payment</t>
  </si>
  <si>
    <t>Total Payment</t>
  </si>
  <si>
    <t>Date</t>
  </si>
  <si>
    <t>Paid</t>
  </si>
  <si>
    <t>No</t>
  </si>
  <si>
    <t>SUMMARY</t>
  </si>
  <si>
    <t>Original Principal:</t>
  </si>
  <si>
    <t>Total Interest Paid:</t>
  </si>
  <si>
    <t>Total Fees Paid:</t>
  </si>
  <si>
    <t>Total Amount Paid:</t>
  </si>
  <si>
    <t>Cost Ratio (Total/Principal):</t>
  </si>
  <si>
    <t>Interest Savings from Extra:</t>
  </si>
  <si>
    <t>LOAN AMORTIZATION SCHEDULE - CREDIT 2</t>
  </si>
  <si>
    <t>Home Mortgage</t>
  </si>
  <si>
    <t>Mortgage</t>
  </si>
  <si>
    <t>2025-01-01</t>
  </si>
  <si>
    <t>LOAN AMORTIZATION SCHEDULE - CREDIT 3</t>
  </si>
  <si>
    <t>Personal Loan</t>
  </si>
  <si>
    <t>Personal</t>
  </si>
  <si>
    <t>2025-02-01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</si>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</sst>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%"/>
    <numFmt numFmtId="166" formatCode="0.\4000%"/>
  </numFmts>
  <fonts count="12" x14ac:knownFonts="1">
    <font>
      <sz val="11"/>
      <color theme="1"/>
      <name val="Calibri"/>
      <family val="2"/>
      <charset val="1"/>
    </font>
    <font>
      <b/>
      <sz val="16"/>
      <name val="Cambria"/>
      <family val="1"/>
    </font>
    <font>
      <b/>
      <sz val="12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color rgb="FFCC0000"/>
      <name val="Cambria"/>
      <family val="1"/>
    </font>
    <font>
      <b/>
      <sz val="11"/>
      <color rgb="FF0000FF"/>
      <name val="Cambria"/>
      <family val="1"/>
    </font>
    <font>
      <b/>
      <sz val="11"/>
      <color rgb="FFFF6600"/>
      <name val="Cambria"/>
      <family val="1"/>
    </font>
    <font>
      <b/>
      <sz val="11"/>
      <color rgb="FF006400"/>
      <name val="Cambria"/>
      <family val="1"/>
    </font>
    <font>
      <i/>
      <sz val="9"/>
      <color rgb="FF666666"/>
      <name val="Cambria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496"/>
        <bgColor rgb="FF0066CC"/>
      </patternFill>
    </fill>
    <fill>
      <patternFill patternType="solid">
        <fgColor rgb="FFC00000"/>
        <bgColor rgb="FFCC0000"/>
      </patternFill>
    </fill>
    <fill>
      <patternFill patternType="solid">
        <fgColor rgb="FF2E7D32"/>
        <bgColor rgb="FF0064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0" fillId="2" borderId="0" xfId="0" applyFont="1" applyFill="1" applyAlignme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4" fontId="0" fillId="0" borderId="1" xfId="0" applyNumberFormat="1" applyBorder="1" applyAlignment="1"/>
    <xf numFmtId="10" fontId="0" fillId="0" borderId="1" xfId="0" applyNumberFormat="1" applyBorder="1" applyAlignment="1"/>
    <xf numFmtId="164" fontId="0" fillId="0" borderId="1" xfId="0" applyNumberFormat="1" applyBorder="1" applyAlignment="1"/>
    <xf numFmtId="10" fontId="0" fillId="0" borderId="0" xfId="0" applyNumberFormat="1" applyAlignment="1"/>
    <xf numFmtId="4" fontId="0" fillId="0" borderId="0" xfId="0" applyNumberFormat="1" applyAlignment="1"/>
    <xf numFmtId="0" fontId="5" fillId="0" borderId="1" xfId="0" applyFont="1" applyBorder="1" applyAlignment="1"/>
    <xf numFmtId="4" fontId="5" fillId="0" borderId="1" xfId="0" applyNumberFormat="1" applyFont="1" applyBorder="1" applyAlignment="1"/>
    <xf numFmtId="10" fontId="5" fillId="0" borderId="1" xfId="0" applyNumberFormat="1" applyFont="1" applyBorder="1" applyAlignment="1"/>
    <xf numFmtId="164" fontId="5" fillId="0" borderId="1" xfId="0" applyNumberFormat="1" applyFont="1" applyBorder="1" applyAlignment="1"/>
    <xf numFmtId="4" fontId="6" fillId="0" borderId="0" xfId="0" applyNumberFormat="1" applyFont="1" applyAlignment="1"/>
    <xf numFmtId="4" fontId="7" fillId="0" borderId="0" xfId="0" applyNumberFormat="1" applyFont="1" applyAlignment="1"/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4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/>
    <xf numFmtId="165" fontId="0" fillId="0" borderId="1" xfId="0" applyNumberFormat="1" applyBorder="1" applyAlignment="1"/>
    <xf numFmtId="1" fontId="5" fillId="0" borderId="1" xfId="0" applyNumberFormat="1" applyFont="1" applyBorder="1" applyAlignment="1"/>
    <xf numFmtId="165" fontId="5" fillId="0" borderId="1" xfId="0" applyNumberFormat="1" applyFont="1" applyBorder="1" applyAlignment="1"/>
    <xf numFmtId="0" fontId="7" fillId="2" borderId="0" xfId="0" applyFont="1" applyFill="1" applyAlignment="1"/>
    <xf numFmtId="166" fontId="0" fillId="0" borderId="0" xfId="0" applyNumberFormat="1" applyAlignment="1"/>
    <xf numFmtId="4" fontId="7" fillId="2" borderId="0" xfId="0" applyNumberFormat="1" applyFont="1" applyFill="1" applyAlignment="1"/>
    <xf numFmtId="10" fontId="7" fillId="2" borderId="0" xfId="0" applyNumberFormat="1" applyFont="1" applyFill="1" applyAlignment="1"/>
    <xf numFmtId="0" fontId="5" fillId="0" borderId="0" xfId="0" applyFont="1" applyAlignment="1"/>
    <xf numFmtId="1" fontId="9" fillId="0" borderId="0" xfId="0" applyNumberFormat="1" applyFont="1" applyAlignment="1"/>
    <xf numFmtId="4" fontId="9" fillId="0" borderId="0" xfId="0" applyNumberFormat="1" applyFont="1" applyAlignment="1"/>
    <xf numFmtId="165" fontId="9" fillId="0" borderId="0" xfId="0" applyNumberFormat="1" applyFont="1" applyAlignment="1"/>
    <xf numFmtId="0" fontId="0" fillId="0" borderId="1" xfId="0" applyBorder="1" applyAlignment="1">
      <alignment horizontal="center" vertical="center"/>
    </xf>
    <xf numFmtId="4" fontId="7" fillId="2" borderId="1" xfId="0" applyNumberFormat="1" applyFont="1" applyFill="1" applyBorder="1" applyAlignment="1"/>
    <xf numFmtId="164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" fontId="5" fillId="0" borderId="0" xfId="0" applyNumberFormat="1" applyFont="1" applyAlignment="1"/>
    <xf numFmtId="165" fontId="0" fillId="0" borderId="0" xfId="0" applyNumberFormat="1" applyAlignment="1"/>
    <xf numFmtId="164" fontId="11" fillId="6" borderId="0" xfId="0" applyNumberFormat="1" applyFont="1" applyFill="1" applyAlignment="1"/>
    <xf numFmtId="164" fontId="11" fillId="7" borderId="0" xfId="0" applyNumberFormat="1" applyFont="1" applyFill="1" applyAlignment="1"/>
    <xf numFmtId="0" fontId="0" fillId="0" borderId="0" xfId="0" applyFont="1" applyBorder="1" applyAlignment="1"/>
    <xf numFmtId="0" fontId="0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2" fillId="0" borderId="0" xfId="0" applyFont="1" applyBorder="1" applyAlignment="1"/>
    <xf numFmtId="0" fontId="1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64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Principal by Loan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Car Loan</c:v>
                </c:pt>
                <c:pt idx="1">
                  <c:v>Home Mortgage</c:v>
                </c:pt>
                <c:pt idx="2">
                  <c:v>Personal Loan</c:v>
                </c:pt>
              </c:strCache>
            </c:strRef>
          </c:cat>
          <c:val>
            <c:numRef>
              <c:f>Dashboard!$B$6:$B$8</c:f>
              <c:numCache>
                <c:formatCode>#,##0.00</c:formatCode>
                <c:ptCount val="3"/>
                <c:pt idx="0">
                  <c:v>30000</c:v>
                </c:pt>
                <c:pt idx="1">
                  <c:v>150000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4-4815-9F86-39DDEDBDF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96017"/>
        <c:axId val="79446570"/>
      </c:barChart>
      <c:catAx>
        <c:axId val="235960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9446570"/>
        <c:crosses val="autoZero"/>
        <c:auto val="1"/>
        <c:lblAlgn val="ctr"/>
        <c:lblOffset val="100"/>
        <c:noMultiLvlLbl val="0"/>
      </c:catAx>
      <c:valAx>
        <c:axId val="79446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3596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Interest Rate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Car Loan</c:v>
                </c:pt>
                <c:pt idx="1">
                  <c:v>Home Mortgage</c:v>
                </c:pt>
                <c:pt idx="2">
                  <c:v>Personal Loan</c:v>
                </c:pt>
              </c:strCache>
            </c:strRef>
          </c:cat>
          <c:val>
            <c:numRef>
              <c:f>Dashboard!$C$6:$C$8</c:f>
              <c:numCache>
                <c:formatCode>0.00%</c:formatCode>
                <c:ptCount val="3"/>
                <c:pt idx="0">
                  <c:v>0.19</c:v>
                </c:pt>
                <c:pt idx="1">
                  <c:v>6.5000000000000002E-2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7-4A1A-8478-D289E8AA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20787"/>
        <c:axId val="55110575"/>
      </c:barChart>
      <c:catAx>
        <c:axId val="417207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5110575"/>
        <c:crosses val="autoZero"/>
        <c:auto val="1"/>
        <c:lblAlgn val="ctr"/>
        <c:lblOffset val="100"/>
        <c:noMultiLvlLbl val="0"/>
      </c:catAx>
      <c:valAx>
        <c:axId val="55110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1720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9</xdr:row>
      <xdr:rowOff>178664</xdr:rowOff>
    </xdr:from>
    <xdr:to>
      <xdr:col>9</xdr:col>
      <xdr:colOff>552450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714376</xdr:colOff>
      <xdr:row>10</xdr:row>
      <xdr:rowOff>9526</xdr:rowOff>
    </xdr:from>
    <xdr:to>
      <xdr:col>20</xdr:col>
      <xdr:colOff>409576</xdr:colOff>
      <xdr:row>29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zoomScaleNormal="100" workbookViewId="0">
      <selection activeCell="E18" sqref="E18"/>
    </sheetView>
  </sheetViews>
  <sheetFormatPr baseColWidth="10" defaultColWidth="8.7109375" defaultRowHeight="15" x14ac:dyDescent="0.25"/>
  <cols>
    <col min="1" max="1" width="20" style="1" customWidth="1"/>
    <col min="2" max="2" width="60" style="1" customWidth="1"/>
  </cols>
  <sheetData>
    <row r="1" spans="1:7" ht="19.5" customHeight="1" x14ac:dyDescent="0.25">
      <c r="A1" s="44" t="s">
        <v>0</v>
      </c>
      <c r="B1" s="44"/>
      <c r="C1" s="44"/>
      <c r="D1" s="44"/>
      <c r="E1" s="44"/>
      <c r="F1" s="44"/>
      <c r="G1" s="44"/>
    </row>
    <row r="3" spans="1:7" ht="15" customHeight="1" x14ac:dyDescent="0.25">
      <c r="A3" s="2" t="s">
        <v>1</v>
      </c>
    </row>
    <row r="4" spans="1:7" ht="15" customHeight="1" x14ac:dyDescent="0.25">
      <c r="A4" s="43" t="s">
        <v>2</v>
      </c>
      <c r="B4" s="43"/>
      <c r="C4" s="43"/>
      <c r="D4" s="43"/>
      <c r="E4" s="43"/>
      <c r="F4" s="43"/>
      <c r="G4" s="43"/>
    </row>
    <row r="6" spans="1:7" ht="15" customHeight="1" x14ac:dyDescent="0.25">
      <c r="A6" s="2" t="s">
        <v>3</v>
      </c>
    </row>
    <row r="7" spans="1:7" ht="15" customHeight="1" x14ac:dyDescent="0.25">
      <c r="A7" s="43" t="s">
        <v>4</v>
      </c>
      <c r="B7" s="43"/>
      <c r="C7" s="43"/>
      <c r="D7" s="43"/>
      <c r="E7" s="43"/>
      <c r="F7" s="43"/>
      <c r="G7" s="43"/>
    </row>
    <row r="8" spans="1:7" ht="15" customHeight="1" x14ac:dyDescent="0.25">
      <c r="A8" s="43" t="s">
        <v>5</v>
      </c>
      <c r="B8" s="43"/>
      <c r="C8" s="43"/>
      <c r="D8" s="43"/>
      <c r="E8" s="43"/>
      <c r="F8" s="43"/>
      <c r="G8" s="43"/>
    </row>
    <row r="9" spans="1:7" ht="15" customHeight="1" x14ac:dyDescent="0.25">
      <c r="A9" s="43" t="s">
        <v>6</v>
      </c>
      <c r="B9" s="43"/>
      <c r="C9" s="43"/>
      <c r="D9" s="43"/>
      <c r="E9" s="43"/>
      <c r="F9" s="43"/>
      <c r="G9" s="43"/>
    </row>
    <row r="10" spans="1:7" ht="15" customHeight="1" x14ac:dyDescent="0.25">
      <c r="A10" s="43" t="s">
        <v>7</v>
      </c>
      <c r="B10" s="43"/>
      <c r="C10" s="43"/>
      <c r="D10" s="43"/>
      <c r="E10" s="43"/>
      <c r="F10" s="43"/>
      <c r="G10" s="43"/>
    </row>
    <row r="11" spans="1:7" ht="15" customHeight="1" x14ac:dyDescent="0.25">
      <c r="A11" s="43" t="s">
        <v>8</v>
      </c>
      <c r="B11" s="43"/>
      <c r="C11" s="43"/>
      <c r="D11" s="43"/>
      <c r="E11" s="43"/>
      <c r="F11" s="43"/>
      <c r="G11" s="43"/>
    </row>
    <row r="12" spans="1:7" ht="15" customHeight="1" x14ac:dyDescent="0.25">
      <c r="A12" s="43" t="s">
        <v>9</v>
      </c>
      <c r="B12" s="43"/>
      <c r="C12" s="43"/>
      <c r="D12" s="43"/>
      <c r="E12" s="43"/>
      <c r="F12" s="43"/>
      <c r="G12" s="43"/>
    </row>
    <row r="14" spans="1:7" ht="15" customHeight="1" x14ac:dyDescent="0.25">
      <c r="A14" s="2" t="s">
        <v>10</v>
      </c>
    </row>
    <row r="15" spans="1:7" ht="15" customHeight="1" x14ac:dyDescent="0.25">
      <c r="A15" s="3" t="s">
        <v>11</v>
      </c>
      <c r="B15" s="1" t="s">
        <v>12</v>
      </c>
    </row>
    <row r="16" spans="1:7" ht="15" customHeight="1" x14ac:dyDescent="0.25">
      <c r="A16" s="1" t="s">
        <v>13</v>
      </c>
      <c r="B16" s="1" t="s">
        <v>14</v>
      </c>
    </row>
    <row r="18" spans="1:7" ht="15" customHeight="1" x14ac:dyDescent="0.25">
      <c r="A18" s="2" t="s">
        <v>15</v>
      </c>
    </row>
    <row r="19" spans="1:7" ht="15" customHeight="1" x14ac:dyDescent="0.25">
      <c r="A19" s="42" t="s">
        <v>16</v>
      </c>
      <c r="B19" s="42"/>
      <c r="C19" s="42"/>
      <c r="D19" s="42"/>
      <c r="E19" s="42"/>
      <c r="F19" s="42"/>
      <c r="G19" s="42"/>
    </row>
    <row r="20" spans="1:7" ht="15" customHeight="1" x14ac:dyDescent="0.25">
      <c r="A20" s="42" t="s">
        <v>17</v>
      </c>
      <c r="B20" s="42"/>
      <c r="C20" s="42"/>
      <c r="D20" s="42"/>
      <c r="E20" s="42"/>
      <c r="F20" s="42"/>
      <c r="G20" s="42"/>
    </row>
    <row r="21" spans="1:7" ht="15" customHeight="1" x14ac:dyDescent="0.25">
      <c r="A21" s="42" t="s">
        <v>18</v>
      </c>
      <c r="B21" s="42"/>
      <c r="C21" s="42"/>
      <c r="D21" s="42"/>
      <c r="E21" s="42"/>
      <c r="F21" s="42"/>
      <c r="G21" s="42"/>
    </row>
    <row r="22" spans="1:7" ht="15" customHeight="1" x14ac:dyDescent="0.25">
      <c r="A22" s="42" t="s">
        <v>19</v>
      </c>
      <c r="B22" s="42"/>
      <c r="C22" s="42"/>
      <c r="D22" s="42"/>
      <c r="E22" s="42"/>
      <c r="F22" s="42"/>
      <c r="G22" s="42"/>
    </row>
    <row r="23" spans="1:7" ht="15" customHeight="1" x14ac:dyDescent="0.25">
      <c r="A23" s="42" t="s">
        <v>20</v>
      </c>
      <c r="B23" s="42"/>
      <c r="C23" s="42"/>
      <c r="D23" s="42"/>
      <c r="E23" s="42"/>
      <c r="F23" s="42"/>
      <c r="G23" s="42"/>
    </row>
    <row r="24" spans="1:7" ht="15" customHeight="1" x14ac:dyDescent="0.25">
      <c r="A24" s="42" t="s">
        <v>21</v>
      </c>
      <c r="B24" s="42"/>
      <c r="C24" s="42"/>
      <c r="D24" s="42"/>
      <c r="E24" s="42"/>
      <c r="F24" s="42"/>
      <c r="G24" s="42"/>
    </row>
    <row r="26" spans="1:7" ht="15" customHeight="1" x14ac:dyDescent="0.25">
      <c r="A26" s="2" t="s">
        <v>22</v>
      </c>
    </row>
    <row r="27" spans="1:7" ht="15" customHeight="1" x14ac:dyDescent="0.25">
      <c r="A27" s="42" t="s">
        <v>23</v>
      </c>
      <c r="B27" s="42"/>
      <c r="C27" s="42"/>
      <c r="D27" s="42"/>
      <c r="E27" s="42"/>
      <c r="F27" s="42"/>
      <c r="G27" s="42"/>
    </row>
    <row r="28" spans="1:7" ht="15" customHeight="1" x14ac:dyDescent="0.25">
      <c r="A28" s="42" t="s">
        <v>24</v>
      </c>
      <c r="B28" s="42"/>
      <c r="C28" s="42"/>
      <c r="D28" s="42"/>
      <c r="E28" s="42"/>
      <c r="F28" s="42"/>
      <c r="G28" s="42"/>
    </row>
    <row r="29" spans="1:7" ht="15" customHeight="1" x14ac:dyDescent="0.25">
      <c r="A29" s="42" t="s">
        <v>25</v>
      </c>
      <c r="B29" s="42"/>
      <c r="C29" s="42"/>
      <c r="D29" s="42"/>
      <c r="E29" s="42"/>
      <c r="F29" s="42"/>
      <c r="G29" s="42"/>
    </row>
    <row r="30" spans="1:7" ht="15" customHeight="1" x14ac:dyDescent="0.25">
      <c r="A30" s="42" t="s">
        <v>26</v>
      </c>
      <c r="B30" s="42"/>
      <c r="C30" s="42"/>
      <c r="D30" s="42"/>
      <c r="E30" s="42"/>
      <c r="F30" s="42"/>
      <c r="G30" s="42"/>
    </row>
    <row r="31" spans="1:7" ht="15" customHeight="1" x14ac:dyDescent="0.25">
      <c r="A31" s="42" t="s">
        <v>27</v>
      </c>
      <c r="B31" s="42"/>
      <c r="C31" s="42"/>
      <c r="D31" s="42"/>
      <c r="E31" s="42"/>
      <c r="F31" s="42"/>
      <c r="G31" s="42"/>
    </row>
    <row r="33" spans="1:1" ht="15" customHeight="1" x14ac:dyDescent="0.25">
      <c r="A33" s="2" t="s">
        <v>28</v>
      </c>
    </row>
    <row r="34" spans="1:1" ht="15" customHeight="1" x14ac:dyDescent="0.25">
      <c r="A34" s="1" t="s">
        <v>29</v>
      </c>
    </row>
    <row r="35" spans="1:1" ht="15" customHeight="1" x14ac:dyDescent="0.25">
      <c r="A35" s="1" t="s">
        <v>30</v>
      </c>
    </row>
    <row r="36" spans="1:1" ht="15" customHeight="1" x14ac:dyDescent="0.25">
      <c r="A36" s="1" t="s">
        <v>31</v>
      </c>
    </row>
    <row r="37" spans="1:1" ht="15" customHeight="1" x14ac:dyDescent="0.25">
      <c r="A37" s="1" t="s">
        <v>32</v>
      </c>
    </row>
  </sheetData>
  <mergeCells count="19">
    <mergeCell ref="A1:G1"/>
    <mergeCell ref="A4:G4"/>
    <mergeCell ref="A7:G7"/>
    <mergeCell ref="A8:G8"/>
    <mergeCell ref="A9:G9"/>
    <mergeCell ref="A10:G10"/>
    <mergeCell ref="A11:G11"/>
    <mergeCell ref="A12:G12"/>
    <mergeCell ref="A19:G19"/>
    <mergeCell ref="A20:G20"/>
    <mergeCell ref="A28:G28"/>
    <mergeCell ref="A29:G29"/>
    <mergeCell ref="A30:G30"/>
    <mergeCell ref="A31:G31"/>
    <mergeCell ref="A21:G21"/>
    <mergeCell ref="A22:G22"/>
    <mergeCell ref="A23:G23"/>
    <mergeCell ref="A24:G24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6"/>
  <sheetViews>
    <sheetView tabSelected="1" zoomScaleNormal="100" workbookViewId="0">
      <selection activeCell="O16" sqref="O16"/>
    </sheetView>
  </sheetViews>
  <sheetFormatPr baseColWidth="10" defaultColWidth="8.7109375" defaultRowHeight="15" x14ac:dyDescent="0.25"/>
  <cols>
    <col min="1" max="1" width="25.5703125" style="1" bestFit="1" customWidth="1"/>
    <col min="2" max="2" width="14" style="1" customWidth="1"/>
    <col min="3" max="3" width="12" style="1" customWidth="1"/>
    <col min="4" max="4" width="21.42578125" style="1" bestFit="1" customWidth="1"/>
    <col min="5" max="5" width="13.85546875" style="1" bestFit="1" customWidth="1"/>
    <col min="6" max="6" width="14" style="1" customWidth="1"/>
    <col min="7" max="7" width="23.28515625" style="1" bestFit="1" customWidth="1"/>
    <col min="8" max="8" width="15.5703125" style="1" bestFit="1" customWidth="1"/>
    <col min="9" max="9" width="12" style="1" customWidth="1"/>
    <col min="10" max="10" width="8" style="1" customWidth="1"/>
  </cols>
  <sheetData>
    <row r="1" spans="1:10" ht="19.5" customHeight="1" x14ac:dyDescent="0.25">
      <c r="A1" s="44" t="s">
        <v>73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ht="15" customHeight="1" x14ac:dyDescent="0.25">
      <c r="A3" s="2" t="s">
        <v>74</v>
      </c>
    </row>
    <row r="4" spans="1:10" ht="15" customHeight="1" x14ac:dyDescent="0.25">
      <c r="A4" s="1" t="s">
        <v>75</v>
      </c>
      <c r="B4" s="26" t="s">
        <v>76</v>
      </c>
      <c r="D4" s="1" t="s">
        <v>77</v>
      </c>
      <c r="E4" s="27">
        <f>POWER(1+B6,1/12)-1</f>
        <v>1.4601687054440093E-2</v>
      </c>
      <c r="G4" s="1" t="s">
        <v>78</v>
      </c>
      <c r="H4" s="3" t="s">
        <v>79</v>
      </c>
    </row>
    <row r="5" spans="1:10" ht="15" customHeight="1" x14ac:dyDescent="0.25">
      <c r="A5" s="1" t="s">
        <v>80</v>
      </c>
      <c r="B5" s="28">
        <v>30000</v>
      </c>
      <c r="D5" s="1" t="s">
        <v>81</v>
      </c>
      <c r="E5" s="10">
        <f>IF(B6&gt;0,PMT(E4,B7,-B5),B5/B7)</f>
        <v>531.3584106707566</v>
      </c>
      <c r="G5" s="1" t="s">
        <v>82</v>
      </c>
      <c r="H5" s="28">
        <v>25</v>
      </c>
    </row>
    <row r="6" spans="1:10" ht="15" customHeight="1" x14ac:dyDescent="0.25">
      <c r="A6" s="1" t="s">
        <v>83</v>
      </c>
      <c r="B6" s="29">
        <v>0.19</v>
      </c>
      <c r="D6" s="1" t="s">
        <v>84</v>
      </c>
      <c r="E6" s="10">
        <f>E5*B7</f>
        <v>63763.009280490791</v>
      </c>
    </row>
    <row r="7" spans="1:10" ht="15" customHeight="1" x14ac:dyDescent="0.25">
      <c r="A7" s="1" t="s">
        <v>85</v>
      </c>
      <c r="B7" s="26">
        <v>120</v>
      </c>
      <c r="D7" s="1" t="s">
        <v>86</v>
      </c>
      <c r="E7" s="10">
        <f>E6-B5</f>
        <v>33763.009280490791</v>
      </c>
    </row>
    <row r="8" spans="1:10" ht="15" customHeight="1" x14ac:dyDescent="0.25">
      <c r="A8" s="1" t="s">
        <v>87</v>
      </c>
      <c r="B8" s="26" t="s">
        <v>88</v>
      </c>
    </row>
    <row r="10" spans="1:10" ht="15" customHeight="1" x14ac:dyDescent="0.25">
      <c r="A10" s="30" t="s">
        <v>89</v>
      </c>
      <c r="D10" s="30" t="s">
        <v>90</v>
      </c>
      <c r="G10" s="30" t="s">
        <v>91</v>
      </c>
    </row>
    <row r="11" spans="1:10" ht="15" customHeight="1" x14ac:dyDescent="0.25">
      <c r="A11" s="1" t="s">
        <v>92</v>
      </c>
      <c r="B11" s="31">
        <f>COUNTIF(J17:J216,"Yes")</f>
        <v>3</v>
      </c>
      <c r="D11" s="1" t="s">
        <v>93</v>
      </c>
      <c r="E11" s="41">
        <f>EDATE(B8,COUNTIF(B17:B216,"&gt;0")-1)</f>
        <v>48714</v>
      </c>
      <c r="G11" s="1" t="s">
        <v>94</v>
      </c>
      <c r="H11" s="28"/>
    </row>
    <row r="12" spans="1:10" ht="15" customHeight="1" x14ac:dyDescent="0.25">
      <c r="A12" s="1" t="s">
        <v>95</v>
      </c>
      <c r="B12" s="32">
        <f>SUMIF(J17:J216,"Yes",H17:H216)</f>
        <v>3869.0752320122701</v>
      </c>
      <c r="D12" s="1" t="s">
        <v>96</v>
      </c>
      <c r="E12" s="32">
        <f>COUNTIF(B17:B216,"&gt;0")</f>
        <v>101</v>
      </c>
      <c r="G12" s="1" t="s">
        <v>97</v>
      </c>
      <c r="H12" s="32">
        <f>E7-C217</f>
        <v>8315.0592804907974</v>
      </c>
    </row>
    <row r="13" spans="1:10" ht="15" customHeight="1" x14ac:dyDescent="0.25">
      <c r="A13" s="1" t="s">
        <v>98</v>
      </c>
      <c r="B13" s="33">
        <f>IF(COUNTIF(B17:B216,"&gt;0")&gt;0,COUNTIF(J17:J216,"Yes")/COUNTIF(B17:B216,"&gt;0"),0)</f>
        <v>2.9702970297029702E-2</v>
      </c>
      <c r="D13" s="1" t="s">
        <v>99</v>
      </c>
      <c r="E13" s="10">
        <f>IF(COUNTIF(J17:J216,"Yes")&gt;0,INDEX(E17:E216,COUNTIF(J17:J216,"Yes")),B5)</f>
        <v>27498.344767987728</v>
      </c>
    </row>
    <row r="14" spans="1:10" ht="15" customHeight="1" x14ac:dyDescent="0.25">
      <c r="B14" s="33"/>
      <c r="E14" s="10"/>
    </row>
    <row r="15" spans="1:10" ht="15" customHeight="1" x14ac:dyDescent="0.25">
      <c r="A15" s="45" t="s">
        <v>100</v>
      </c>
      <c r="B15" s="45"/>
      <c r="C15" s="45"/>
      <c r="D15" s="45"/>
      <c r="E15" s="45"/>
      <c r="F15" s="45"/>
      <c r="G15" s="45"/>
    </row>
    <row r="16" spans="1:10" ht="15" customHeight="1" x14ac:dyDescent="0.25">
      <c r="A16" s="4" t="s">
        <v>101</v>
      </c>
      <c r="B16" s="4" t="s">
        <v>39</v>
      </c>
      <c r="C16" s="4" t="s">
        <v>102</v>
      </c>
      <c r="D16" s="4" t="s">
        <v>37</v>
      </c>
      <c r="E16" s="4" t="s">
        <v>59</v>
      </c>
      <c r="F16" s="4" t="s">
        <v>40</v>
      </c>
      <c r="G16" s="4" t="s">
        <v>103</v>
      </c>
      <c r="H16" s="4" t="s">
        <v>104</v>
      </c>
      <c r="I16" s="4" t="s">
        <v>105</v>
      </c>
      <c r="J16" s="4" t="s">
        <v>106</v>
      </c>
    </row>
    <row r="17" spans="1:10" ht="15" customHeight="1" x14ac:dyDescent="0.25">
      <c r="A17" s="34">
        <v>1</v>
      </c>
      <c r="B17" s="6">
        <f>IF($B$5&gt;0,MIN($E$5+G17+$H$11,$B$5+C17),0)</f>
        <v>1031.3584106707567</v>
      </c>
      <c r="C17" s="6">
        <f>IF($B$5&gt;0,ROUND($B$5*$E$4,2),0)</f>
        <v>438.05</v>
      </c>
      <c r="D17" s="6">
        <f>IF($B$5&gt;0,B17-C17,0)</f>
        <v>593.30841067075676</v>
      </c>
      <c r="E17" s="6">
        <f>IF($B$5&gt;0,MAX($B$5-D17,0),0)</f>
        <v>29406.691589329243</v>
      </c>
      <c r="F17" s="35">
        <f>IF($B$5&gt;0,$H$5,0)</f>
        <v>25</v>
      </c>
      <c r="G17" s="35">
        <v>500</v>
      </c>
      <c r="H17" s="6">
        <f t="shared" ref="H17:H48" si="0">IF(B17&gt;0,B17+F17,0)</f>
        <v>1056.3584106707567</v>
      </c>
      <c r="I17" s="36" t="str">
        <f>$B$8</f>
        <v>2025-01-15</v>
      </c>
      <c r="J17" s="37" t="s">
        <v>123</v>
      </c>
    </row>
    <row r="18" spans="1:10" ht="15" customHeight="1" x14ac:dyDescent="0.25">
      <c r="A18" s="34">
        <v>2</v>
      </c>
      <c r="B18" s="6">
        <f t="shared" ref="B18:B49" si="1">IF(E17&gt;0,MIN($E$5+G18+$H$11,E17+C18),0)</f>
        <v>731.3584106707566</v>
      </c>
      <c r="C18" s="6">
        <f t="shared" ref="C18:C49" si="2">IF(E17&gt;0,ROUND(E17*$E$4,2),0)</f>
        <v>429.39</v>
      </c>
      <c r="D18" s="6">
        <f t="shared" ref="D18:D49" si="3">IF(E17&gt;0,B18-C18,0)</f>
        <v>301.96841067075661</v>
      </c>
      <c r="E18" s="6">
        <f t="shared" ref="E18:E49" si="4">IF(E17&gt;0,MAX(E17-D18,0),0)</f>
        <v>29104.723178658485</v>
      </c>
      <c r="F18" s="35">
        <f t="shared" ref="F18:F49" si="5">IF(E17&gt;0,$H$5,0)</f>
        <v>25</v>
      </c>
      <c r="G18" s="35">
        <v>200</v>
      </c>
      <c r="H18" s="6">
        <f t="shared" si="0"/>
        <v>756.3584106707566</v>
      </c>
      <c r="I18" s="36">
        <f t="shared" ref="I18:I49" si="6">IF(E18&gt;0,EDATE($B$8,A18-1),"")</f>
        <v>45703</v>
      </c>
      <c r="J18" s="37" t="s">
        <v>123</v>
      </c>
    </row>
    <row r="19" spans="1:10" ht="15" customHeight="1" x14ac:dyDescent="0.25">
      <c r="A19" s="34">
        <v>3</v>
      </c>
      <c r="B19" s="6">
        <f t="shared" si="1"/>
        <v>2031.3584106707567</v>
      </c>
      <c r="C19" s="6">
        <f t="shared" si="2"/>
        <v>424.98</v>
      </c>
      <c r="D19" s="6">
        <f t="shared" si="3"/>
        <v>1606.3784106707567</v>
      </c>
      <c r="E19" s="6">
        <f t="shared" si="4"/>
        <v>27498.344767987728</v>
      </c>
      <c r="F19" s="35">
        <f t="shared" si="5"/>
        <v>25</v>
      </c>
      <c r="G19" s="35">
        <v>1500</v>
      </c>
      <c r="H19" s="6">
        <f t="shared" si="0"/>
        <v>2056.3584106707567</v>
      </c>
      <c r="I19" s="36">
        <f t="shared" si="6"/>
        <v>45731</v>
      </c>
      <c r="J19" s="37" t="s">
        <v>123</v>
      </c>
    </row>
    <row r="20" spans="1:10" ht="15" customHeight="1" x14ac:dyDescent="0.25">
      <c r="A20" s="34">
        <v>4</v>
      </c>
      <c r="B20" s="6">
        <f t="shared" si="1"/>
        <v>531.3584106707566</v>
      </c>
      <c r="C20" s="6">
        <f t="shared" si="2"/>
        <v>401.52</v>
      </c>
      <c r="D20" s="6">
        <f t="shared" si="3"/>
        <v>129.83841067075662</v>
      </c>
      <c r="E20" s="6">
        <f t="shared" si="4"/>
        <v>27368.506357316972</v>
      </c>
      <c r="F20" s="35">
        <f t="shared" si="5"/>
        <v>25</v>
      </c>
      <c r="G20" s="35">
        <v>0</v>
      </c>
      <c r="H20" s="6">
        <f t="shared" si="0"/>
        <v>556.3584106707566</v>
      </c>
      <c r="I20" s="36">
        <f t="shared" si="6"/>
        <v>45762</v>
      </c>
      <c r="J20" s="37" t="s">
        <v>107</v>
      </c>
    </row>
    <row r="21" spans="1:10" ht="15" customHeight="1" x14ac:dyDescent="0.25">
      <c r="A21" s="34">
        <v>5</v>
      </c>
      <c r="B21" s="6">
        <f t="shared" si="1"/>
        <v>531.3584106707566</v>
      </c>
      <c r="C21" s="6">
        <f t="shared" si="2"/>
        <v>399.63</v>
      </c>
      <c r="D21" s="6">
        <f t="shared" si="3"/>
        <v>131.7284106707566</v>
      </c>
      <c r="E21" s="6">
        <f t="shared" si="4"/>
        <v>27236.777946646216</v>
      </c>
      <c r="F21" s="35">
        <f t="shared" si="5"/>
        <v>25</v>
      </c>
      <c r="G21" s="35">
        <v>0</v>
      </c>
      <c r="H21" s="6">
        <f t="shared" si="0"/>
        <v>556.3584106707566</v>
      </c>
      <c r="I21" s="36">
        <f t="shared" si="6"/>
        <v>45792</v>
      </c>
      <c r="J21" s="37" t="s">
        <v>107</v>
      </c>
    </row>
    <row r="22" spans="1:10" ht="15" customHeight="1" x14ac:dyDescent="0.25">
      <c r="A22" s="34">
        <v>6</v>
      </c>
      <c r="B22" s="6">
        <f t="shared" si="1"/>
        <v>531.3584106707566</v>
      </c>
      <c r="C22" s="6">
        <f t="shared" si="2"/>
        <v>397.7</v>
      </c>
      <c r="D22" s="6">
        <f t="shared" si="3"/>
        <v>133.65841067075661</v>
      </c>
      <c r="E22" s="6">
        <f t="shared" si="4"/>
        <v>27103.11953597546</v>
      </c>
      <c r="F22" s="35">
        <f t="shared" si="5"/>
        <v>25</v>
      </c>
      <c r="G22" s="35">
        <v>0</v>
      </c>
      <c r="H22" s="6">
        <f t="shared" si="0"/>
        <v>556.3584106707566</v>
      </c>
      <c r="I22" s="36">
        <f t="shared" si="6"/>
        <v>45823</v>
      </c>
      <c r="J22" s="37" t="s">
        <v>107</v>
      </c>
    </row>
    <row r="23" spans="1:10" ht="15" customHeight="1" x14ac:dyDescent="0.25">
      <c r="A23" s="34">
        <v>7</v>
      </c>
      <c r="B23" s="6">
        <f t="shared" si="1"/>
        <v>531.3584106707566</v>
      </c>
      <c r="C23" s="6">
        <f t="shared" si="2"/>
        <v>395.75</v>
      </c>
      <c r="D23" s="6">
        <f t="shared" si="3"/>
        <v>135.6084106707566</v>
      </c>
      <c r="E23" s="6">
        <f t="shared" si="4"/>
        <v>26967.511125304703</v>
      </c>
      <c r="F23" s="35">
        <f t="shared" si="5"/>
        <v>25</v>
      </c>
      <c r="G23" s="35">
        <v>0</v>
      </c>
      <c r="H23" s="6">
        <f t="shared" si="0"/>
        <v>556.3584106707566</v>
      </c>
      <c r="I23" s="36">
        <f t="shared" si="6"/>
        <v>45853</v>
      </c>
      <c r="J23" s="37" t="s">
        <v>107</v>
      </c>
    </row>
    <row r="24" spans="1:10" ht="15" customHeight="1" x14ac:dyDescent="0.25">
      <c r="A24" s="34">
        <v>8</v>
      </c>
      <c r="B24" s="6">
        <f t="shared" si="1"/>
        <v>531.3584106707566</v>
      </c>
      <c r="C24" s="6">
        <f t="shared" si="2"/>
        <v>393.77</v>
      </c>
      <c r="D24" s="6">
        <f t="shared" si="3"/>
        <v>137.58841067075662</v>
      </c>
      <c r="E24" s="6">
        <f t="shared" si="4"/>
        <v>26829.922714633947</v>
      </c>
      <c r="F24" s="35">
        <f t="shared" si="5"/>
        <v>25</v>
      </c>
      <c r="G24" s="35">
        <v>0</v>
      </c>
      <c r="H24" s="6">
        <f t="shared" si="0"/>
        <v>556.3584106707566</v>
      </c>
      <c r="I24" s="36">
        <f t="shared" si="6"/>
        <v>45884</v>
      </c>
      <c r="J24" s="37" t="s">
        <v>107</v>
      </c>
    </row>
    <row r="25" spans="1:10" ht="15" customHeight="1" x14ac:dyDescent="0.25">
      <c r="A25" s="34">
        <v>9</v>
      </c>
      <c r="B25" s="6">
        <f t="shared" si="1"/>
        <v>531.3584106707566</v>
      </c>
      <c r="C25" s="6">
        <f t="shared" si="2"/>
        <v>391.76</v>
      </c>
      <c r="D25" s="6">
        <f t="shared" si="3"/>
        <v>139.59841067075661</v>
      </c>
      <c r="E25" s="6">
        <f t="shared" si="4"/>
        <v>26690.324303963189</v>
      </c>
      <c r="F25" s="35">
        <f t="shared" si="5"/>
        <v>25</v>
      </c>
      <c r="G25" s="35">
        <v>0</v>
      </c>
      <c r="H25" s="6">
        <f t="shared" si="0"/>
        <v>556.3584106707566</v>
      </c>
      <c r="I25" s="36">
        <f t="shared" si="6"/>
        <v>45915</v>
      </c>
      <c r="J25" s="37" t="s">
        <v>107</v>
      </c>
    </row>
    <row r="26" spans="1:10" ht="15" customHeight="1" x14ac:dyDescent="0.25">
      <c r="A26" s="34">
        <v>10</v>
      </c>
      <c r="B26" s="6">
        <f t="shared" si="1"/>
        <v>531.3584106707566</v>
      </c>
      <c r="C26" s="6">
        <f t="shared" si="2"/>
        <v>389.72</v>
      </c>
      <c r="D26" s="6">
        <f t="shared" si="3"/>
        <v>141.63841067075657</v>
      </c>
      <c r="E26" s="6">
        <f t="shared" si="4"/>
        <v>26548.685893292433</v>
      </c>
      <c r="F26" s="35">
        <f t="shared" si="5"/>
        <v>25</v>
      </c>
      <c r="G26" s="35">
        <v>0</v>
      </c>
      <c r="H26" s="6">
        <f t="shared" si="0"/>
        <v>556.3584106707566</v>
      </c>
      <c r="I26" s="36">
        <f t="shared" si="6"/>
        <v>45945</v>
      </c>
      <c r="J26" s="37" t="s">
        <v>107</v>
      </c>
    </row>
    <row r="27" spans="1:10" ht="15" customHeight="1" x14ac:dyDescent="0.25">
      <c r="A27" s="34">
        <v>11</v>
      </c>
      <c r="B27" s="6">
        <f t="shared" si="1"/>
        <v>531.3584106707566</v>
      </c>
      <c r="C27" s="6">
        <f t="shared" si="2"/>
        <v>387.66</v>
      </c>
      <c r="D27" s="6">
        <f t="shared" si="3"/>
        <v>143.69841067075657</v>
      </c>
      <c r="E27" s="6">
        <f t="shared" si="4"/>
        <v>26404.987482621676</v>
      </c>
      <c r="F27" s="35">
        <f t="shared" si="5"/>
        <v>25</v>
      </c>
      <c r="G27" s="35">
        <v>0</v>
      </c>
      <c r="H27" s="6">
        <f t="shared" si="0"/>
        <v>556.3584106707566</v>
      </c>
      <c r="I27" s="36">
        <f t="shared" si="6"/>
        <v>45976</v>
      </c>
      <c r="J27" s="37" t="s">
        <v>107</v>
      </c>
    </row>
    <row r="28" spans="1:10" ht="15" customHeight="1" x14ac:dyDescent="0.25">
      <c r="A28" s="34">
        <v>12</v>
      </c>
      <c r="B28" s="6">
        <f t="shared" si="1"/>
        <v>531.3584106707566</v>
      </c>
      <c r="C28" s="6">
        <f t="shared" si="2"/>
        <v>385.56</v>
      </c>
      <c r="D28" s="6">
        <f t="shared" si="3"/>
        <v>145.7984106707566</v>
      </c>
      <c r="E28" s="6">
        <f t="shared" si="4"/>
        <v>26259.189071950921</v>
      </c>
      <c r="F28" s="35">
        <f t="shared" si="5"/>
        <v>25</v>
      </c>
      <c r="G28" s="35">
        <v>0</v>
      </c>
      <c r="H28" s="6">
        <f t="shared" si="0"/>
        <v>556.3584106707566</v>
      </c>
      <c r="I28" s="36">
        <f t="shared" si="6"/>
        <v>46006</v>
      </c>
      <c r="J28" s="37" t="s">
        <v>107</v>
      </c>
    </row>
    <row r="29" spans="1:10" ht="15" customHeight="1" x14ac:dyDescent="0.25">
      <c r="A29" s="34">
        <v>13</v>
      </c>
      <c r="B29" s="6">
        <f t="shared" si="1"/>
        <v>531.3584106707566</v>
      </c>
      <c r="C29" s="6">
        <f t="shared" si="2"/>
        <v>383.43</v>
      </c>
      <c r="D29" s="6">
        <f t="shared" si="3"/>
        <v>147.92841067075659</v>
      </c>
      <c r="E29" s="6">
        <f t="shared" si="4"/>
        <v>26111.260661280165</v>
      </c>
      <c r="F29" s="35">
        <f t="shared" si="5"/>
        <v>25</v>
      </c>
      <c r="G29" s="35">
        <v>0</v>
      </c>
      <c r="H29" s="6">
        <f t="shared" si="0"/>
        <v>556.3584106707566</v>
      </c>
      <c r="I29" s="36">
        <f t="shared" si="6"/>
        <v>46037</v>
      </c>
      <c r="J29" s="37" t="s">
        <v>107</v>
      </c>
    </row>
    <row r="30" spans="1:10" ht="15" customHeight="1" x14ac:dyDescent="0.25">
      <c r="A30" s="34">
        <v>14</v>
      </c>
      <c r="B30" s="6">
        <f t="shared" si="1"/>
        <v>531.3584106707566</v>
      </c>
      <c r="C30" s="6">
        <f t="shared" si="2"/>
        <v>381.27</v>
      </c>
      <c r="D30" s="6">
        <f t="shared" si="3"/>
        <v>150.08841067075662</v>
      </c>
      <c r="E30" s="6">
        <f t="shared" si="4"/>
        <v>25961.172250609408</v>
      </c>
      <c r="F30" s="35">
        <f t="shared" si="5"/>
        <v>25</v>
      </c>
      <c r="G30" s="35">
        <v>0</v>
      </c>
      <c r="H30" s="6">
        <f t="shared" si="0"/>
        <v>556.3584106707566</v>
      </c>
      <c r="I30" s="36">
        <f t="shared" si="6"/>
        <v>46068</v>
      </c>
      <c r="J30" s="37" t="s">
        <v>107</v>
      </c>
    </row>
    <row r="31" spans="1:10" ht="15" customHeight="1" x14ac:dyDescent="0.25">
      <c r="A31" s="34">
        <v>15</v>
      </c>
      <c r="B31" s="6">
        <f t="shared" si="1"/>
        <v>531.3584106707566</v>
      </c>
      <c r="C31" s="6">
        <f t="shared" si="2"/>
        <v>379.08</v>
      </c>
      <c r="D31" s="6">
        <f t="shared" si="3"/>
        <v>152.27841067075661</v>
      </c>
      <c r="E31" s="6">
        <f t="shared" si="4"/>
        <v>25808.893839938653</v>
      </c>
      <c r="F31" s="35">
        <f t="shared" si="5"/>
        <v>25</v>
      </c>
      <c r="G31" s="35">
        <v>0</v>
      </c>
      <c r="H31" s="6">
        <f t="shared" si="0"/>
        <v>556.3584106707566</v>
      </c>
      <c r="I31" s="36">
        <f t="shared" si="6"/>
        <v>46096</v>
      </c>
      <c r="J31" s="37" t="s">
        <v>107</v>
      </c>
    </row>
    <row r="32" spans="1:10" ht="15" customHeight="1" x14ac:dyDescent="0.25">
      <c r="A32" s="34">
        <v>16</v>
      </c>
      <c r="B32" s="6">
        <f t="shared" si="1"/>
        <v>531.3584106707566</v>
      </c>
      <c r="C32" s="6">
        <f t="shared" si="2"/>
        <v>376.85</v>
      </c>
      <c r="D32" s="6">
        <f t="shared" si="3"/>
        <v>154.50841067075658</v>
      </c>
      <c r="E32" s="6">
        <f t="shared" si="4"/>
        <v>25654.385429267895</v>
      </c>
      <c r="F32" s="35">
        <f t="shared" si="5"/>
        <v>25</v>
      </c>
      <c r="G32" s="35">
        <v>0</v>
      </c>
      <c r="H32" s="6">
        <f t="shared" si="0"/>
        <v>556.3584106707566</v>
      </c>
      <c r="I32" s="36">
        <f t="shared" si="6"/>
        <v>46127</v>
      </c>
      <c r="J32" s="37" t="s">
        <v>107</v>
      </c>
    </row>
    <row r="33" spans="1:10" ht="15" customHeight="1" x14ac:dyDescent="0.25">
      <c r="A33" s="34">
        <v>17</v>
      </c>
      <c r="B33" s="6">
        <f t="shared" si="1"/>
        <v>531.3584106707566</v>
      </c>
      <c r="C33" s="6">
        <f t="shared" si="2"/>
        <v>374.6</v>
      </c>
      <c r="D33" s="6">
        <f t="shared" si="3"/>
        <v>156.75841067075658</v>
      </c>
      <c r="E33" s="6">
        <f t="shared" si="4"/>
        <v>25497.627018597137</v>
      </c>
      <c r="F33" s="35">
        <f t="shared" si="5"/>
        <v>25</v>
      </c>
      <c r="G33" s="35">
        <v>0</v>
      </c>
      <c r="H33" s="6">
        <f t="shared" si="0"/>
        <v>556.3584106707566</v>
      </c>
      <c r="I33" s="36">
        <f t="shared" si="6"/>
        <v>46157</v>
      </c>
      <c r="J33" s="37" t="s">
        <v>107</v>
      </c>
    </row>
    <row r="34" spans="1:10" ht="15" customHeight="1" x14ac:dyDescent="0.25">
      <c r="A34" s="34">
        <v>18</v>
      </c>
      <c r="B34" s="6">
        <f t="shared" si="1"/>
        <v>531.3584106707566</v>
      </c>
      <c r="C34" s="6">
        <f t="shared" si="2"/>
        <v>372.31</v>
      </c>
      <c r="D34" s="6">
        <f t="shared" si="3"/>
        <v>159.0484106707566</v>
      </c>
      <c r="E34" s="6">
        <f t="shared" si="4"/>
        <v>25338.578607926382</v>
      </c>
      <c r="F34" s="35">
        <f t="shared" si="5"/>
        <v>25</v>
      </c>
      <c r="G34" s="35">
        <v>0</v>
      </c>
      <c r="H34" s="6">
        <f t="shared" si="0"/>
        <v>556.3584106707566</v>
      </c>
      <c r="I34" s="36">
        <f t="shared" si="6"/>
        <v>46188</v>
      </c>
      <c r="J34" s="37" t="s">
        <v>107</v>
      </c>
    </row>
    <row r="35" spans="1:10" ht="15" customHeight="1" x14ac:dyDescent="0.25">
      <c r="A35" s="34">
        <v>19</v>
      </c>
      <c r="B35" s="6">
        <f t="shared" si="1"/>
        <v>531.3584106707566</v>
      </c>
      <c r="C35" s="6">
        <f t="shared" si="2"/>
        <v>369.99</v>
      </c>
      <c r="D35" s="6">
        <f t="shared" si="3"/>
        <v>161.36841067075659</v>
      </c>
      <c r="E35" s="6">
        <f t="shared" si="4"/>
        <v>25177.210197255627</v>
      </c>
      <c r="F35" s="35">
        <f t="shared" si="5"/>
        <v>25</v>
      </c>
      <c r="G35" s="35">
        <v>0</v>
      </c>
      <c r="H35" s="6">
        <f t="shared" si="0"/>
        <v>556.3584106707566</v>
      </c>
      <c r="I35" s="36">
        <f t="shared" si="6"/>
        <v>46218</v>
      </c>
      <c r="J35" s="37" t="s">
        <v>107</v>
      </c>
    </row>
    <row r="36" spans="1:10" ht="15" customHeight="1" x14ac:dyDescent="0.25">
      <c r="A36" s="34">
        <v>20</v>
      </c>
      <c r="B36" s="6">
        <f t="shared" si="1"/>
        <v>531.3584106707566</v>
      </c>
      <c r="C36" s="6">
        <f t="shared" si="2"/>
        <v>367.63</v>
      </c>
      <c r="D36" s="6">
        <f t="shared" si="3"/>
        <v>163.7284106707566</v>
      </c>
      <c r="E36" s="6">
        <f t="shared" si="4"/>
        <v>25013.481786584871</v>
      </c>
      <c r="F36" s="35">
        <f t="shared" si="5"/>
        <v>25</v>
      </c>
      <c r="G36" s="35">
        <v>0</v>
      </c>
      <c r="H36" s="6">
        <f t="shared" si="0"/>
        <v>556.3584106707566</v>
      </c>
      <c r="I36" s="36">
        <f t="shared" si="6"/>
        <v>46249</v>
      </c>
      <c r="J36" s="37" t="s">
        <v>107</v>
      </c>
    </row>
    <row r="37" spans="1:10" ht="15" customHeight="1" x14ac:dyDescent="0.25">
      <c r="A37" s="34">
        <v>21</v>
      </c>
      <c r="B37" s="6">
        <f t="shared" si="1"/>
        <v>531.3584106707566</v>
      </c>
      <c r="C37" s="6">
        <f t="shared" si="2"/>
        <v>365.24</v>
      </c>
      <c r="D37" s="6">
        <f t="shared" si="3"/>
        <v>166.11841067075659</v>
      </c>
      <c r="E37" s="6">
        <f t="shared" si="4"/>
        <v>24847.363375914116</v>
      </c>
      <c r="F37" s="35">
        <f t="shared" si="5"/>
        <v>25</v>
      </c>
      <c r="G37" s="35">
        <v>0</v>
      </c>
      <c r="H37" s="6">
        <f t="shared" si="0"/>
        <v>556.3584106707566</v>
      </c>
      <c r="I37" s="36">
        <f t="shared" si="6"/>
        <v>46280</v>
      </c>
      <c r="J37" s="37" t="s">
        <v>107</v>
      </c>
    </row>
    <row r="38" spans="1:10" ht="15" customHeight="1" x14ac:dyDescent="0.25">
      <c r="A38" s="34">
        <v>22</v>
      </c>
      <c r="B38" s="6">
        <f t="shared" si="1"/>
        <v>531.3584106707566</v>
      </c>
      <c r="C38" s="6">
        <f t="shared" si="2"/>
        <v>362.81</v>
      </c>
      <c r="D38" s="6">
        <f t="shared" si="3"/>
        <v>168.5484106707566</v>
      </c>
      <c r="E38" s="6">
        <f t="shared" si="4"/>
        <v>24678.81496524336</v>
      </c>
      <c r="F38" s="35">
        <f t="shared" si="5"/>
        <v>25</v>
      </c>
      <c r="G38" s="35">
        <v>0</v>
      </c>
      <c r="H38" s="6">
        <f t="shared" si="0"/>
        <v>556.3584106707566</v>
      </c>
      <c r="I38" s="36">
        <f t="shared" si="6"/>
        <v>46310</v>
      </c>
      <c r="J38" s="37" t="s">
        <v>107</v>
      </c>
    </row>
    <row r="39" spans="1:10" ht="15" customHeight="1" x14ac:dyDescent="0.25">
      <c r="A39" s="34">
        <v>23</v>
      </c>
      <c r="B39" s="6">
        <f t="shared" si="1"/>
        <v>531.3584106707566</v>
      </c>
      <c r="C39" s="6">
        <f t="shared" si="2"/>
        <v>360.35</v>
      </c>
      <c r="D39" s="6">
        <f t="shared" si="3"/>
        <v>171.00841067075658</v>
      </c>
      <c r="E39" s="6">
        <f t="shared" si="4"/>
        <v>24507.806554572602</v>
      </c>
      <c r="F39" s="35">
        <f t="shared" si="5"/>
        <v>25</v>
      </c>
      <c r="G39" s="35">
        <v>0</v>
      </c>
      <c r="H39" s="6">
        <f t="shared" si="0"/>
        <v>556.3584106707566</v>
      </c>
      <c r="I39" s="36">
        <f t="shared" si="6"/>
        <v>46341</v>
      </c>
      <c r="J39" s="37" t="s">
        <v>107</v>
      </c>
    </row>
    <row r="40" spans="1:10" ht="15" customHeight="1" x14ac:dyDescent="0.25">
      <c r="A40" s="34">
        <v>24</v>
      </c>
      <c r="B40" s="6">
        <f t="shared" si="1"/>
        <v>531.3584106707566</v>
      </c>
      <c r="C40" s="6">
        <f t="shared" si="2"/>
        <v>357.86</v>
      </c>
      <c r="D40" s="6">
        <f t="shared" si="3"/>
        <v>173.49841067075658</v>
      </c>
      <c r="E40" s="6">
        <f t="shared" si="4"/>
        <v>24334.308143901846</v>
      </c>
      <c r="F40" s="35">
        <f t="shared" si="5"/>
        <v>25</v>
      </c>
      <c r="G40" s="35">
        <v>0</v>
      </c>
      <c r="H40" s="6">
        <f t="shared" si="0"/>
        <v>556.3584106707566</v>
      </c>
      <c r="I40" s="36">
        <f t="shared" si="6"/>
        <v>46371</v>
      </c>
      <c r="J40" s="37" t="s">
        <v>107</v>
      </c>
    </row>
    <row r="41" spans="1:10" ht="15" customHeight="1" x14ac:dyDescent="0.25">
      <c r="A41" s="34">
        <v>25</v>
      </c>
      <c r="B41" s="6">
        <f t="shared" si="1"/>
        <v>531.3584106707566</v>
      </c>
      <c r="C41" s="6">
        <f t="shared" si="2"/>
        <v>355.32</v>
      </c>
      <c r="D41" s="6">
        <f t="shared" si="3"/>
        <v>176.0384106707566</v>
      </c>
      <c r="E41" s="6">
        <f t="shared" si="4"/>
        <v>24158.269733231089</v>
      </c>
      <c r="F41" s="35">
        <f t="shared" si="5"/>
        <v>25</v>
      </c>
      <c r="G41" s="35">
        <v>0</v>
      </c>
      <c r="H41" s="6">
        <f t="shared" si="0"/>
        <v>556.3584106707566</v>
      </c>
      <c r="I41" s="36">
        <f t="shared" si="6"/>
        <v>46402</v>
      </c>
      <c r="J41" s="37" t="s">
        <v>107</v>
      </c>
    </row>
    <row r="42" spans="1:10" ht="15" customHeight="1" x14ac:dyDescent="0.25">
      <c r="A42" s="34">
        <v>26</v>
      </c>
      <c r="B42" s="6">
        <f t="shared" si="1"/>
        <v>531.3584106707566</v>
      </c>
      <c r="C42" s="6">
        <f t="shared" si="2"/>
        <v>352.75</v>
      </c>
      <c r="D42" s="6">
        <f t="shared" si="3"/>
        <v>178.6084106707566</v>
      </c>
      <c r="E42" s="6">
        <f t="shared" si="4"/>
        <v>23979.661322560332</v>
      </c>
      <c r="F42" s="35">
        <f t="shared" si="5"/>
        <v>25</v>
      </c>
      <c r="G42" s="35">
        <v>0</v>
      </c>
      <c r="H42" s="6">
        <f t="shared" si="0"/>
        <v>556.3584106707566</v>
      </c>
      <c r="I42" s="36">
        <f t="shared" si="6"/>
        <v>46433</v>
      </c>
      <c r="J42" s="37" t="s">
        <v>107</v>
      </c>
    </row>
    <row r="43" spans="1:10" ht="15" customHeight="1" x14ac:dyDescent="0.25">
      <c r="A43" s="34">
        <v>27</v>
      </c>
      <c r="B43" s="6">
        <f t="shared" si="1"/>
        <v>531.3584106707566</v>
      </c>
      <c r="C43" s="6">
        <f t="shared" si="2"/>
        <v>350.14</v>
      </c>
      <c r="D43" s="6">
        <f t="shared" si="3"/>
        <v>181.21841067075661</v>
      </c>
      <c r="E43" s="6">
        <f t="shared" si="4"/>
        <v>23798.442911889575</v>
      </c>
      <c r="F43" s="35">
        <f t="shared" si="5"/>
        <v>25</v>
      </c>
      <c r="G43" s="35">
        <v>0</v>
      </c>
      <c r="H43" s="6">
        <f t="shared" si="0"/>
        <v>556.3584106707566</v>
      </c>
      <c r="I43" s="36">
        <f t="shared" si="6"/>
        <v>46461</v>
      </c>
      <c r="J43" s="37" t="s">
        <v>107</v>
      </c>
    </row>
    <row r="44" spans="1:10" ht="15" customHeight="1" x14ac:dyDescent="0.25">
      <c r="A44" s="34">
        <v>28</v>
      </c>
      <c r="B44" s="6">
        <f t="shared" si="1"/>
        <v>531.3584106707566</v>
      </c>
      <c r="C44" s="6">
        <f t="shared" si="2"/>
        <v>347.5</v>
      </c>
      <c r="D44" s="6">
        <f t="shared" si="3"/>
        <v>183.8584106707566</v>
      </c>
      <c r="E44" s="6">
        <f t="shared" si="4"/>
        <v>23614.584501218818</v>
      </c>
      <c r="F44" s="35">
        <f t="shared" si="5"/>
        <v>25</v>
      </c>
      <c r="G44" s="35">
        <v>0</v>
      </c>
      <c r="H44" s="6">
        <f t="shared" si="0"/>
        <v>556.3584106707566</v>
      </c>
      <c r="I44" s="36">
        <f t="shared" si="6"/>
        <v>46492</v>
      </c>
      <c r="J44" s="37" t="s">
        <v>107</v>
      </c>
    </row>
    <row r="45" spans="1:10" ht="15" customHeight="1" x14ac:dyDescent="0.25">
      <c r="A45" s="34">
        <v>29</v>
      </c>
      <c r="B45" s="6">
        <f t="shared" si="1"/>
        <v>531.3584106707566</v>
      </c>
      <c r="C45" s="6">
        <f t="shared" si="2"/>
        <v>344.81</v>
      </c>
      <c r="D45" s="6">
        <f t="shared" si="3"/>
        <v>186.5484106707566</v>
      </c>
      <c r="E45" s="6">
        <f t="shared" si="4"/>
        <v>23428.036090548063</v>
      </c>
      <c r="F45" s="35">
        <f t="shared" si="5"/>
        <v>25</v>
      </c>
      <c r="G45" s="35">
        <v>0</v>
      </c>
      <c r="H45" s="6">
        <f t="shared" si="0"/>
        <v>556.3584106707566</v>
      </c>
      <c r="I45" s="36">
        <f t="shared" si="6"/>
        <v>46522</v>
      </c>
      <c r="J45" s="37" t="s">
        <v>107</v>
      </c>
    </row>
    <row r="46" spans="1:10" ht="15" customHeight="1" x14ac:dyDescent="0.25">
      <c r="A46" s="34">
        <v>30</v>
      </c>
      <c r="B46" s="6">
        <f t="shared" si="1"/>
        <v>531.3584106707566</v>
      </c>
      <c r="C46" s="6">
        <f t="shared" si="2"/>
        <v>342.09</v>
      </c>
      <c r="D46" s="6">
        <f t="shared" si="3"/>
        <v>189.26841067075662</v>
      </c>
      <c r="E46" s="6">
        <f t="shared" si="4"/>
        <v>23238.767679877306</v>
      </c>
      <c r="F46" s="35">
        <f t="shared" si="5"/>
        <v>25</v>
      </c>
      <c r="G46" s="35">
        <v>0</v>
      </c>
      <c r="H46" s="6">
        <f t="shared" si="0"/>
        <v>556.3584106707566</v>
      </c>
      <c r="I46" s="36">
        <f t="shared" si="6"/>
        <v>46553</v>
      </c>
      <c r="J46" s="37" t="s">
        <v>107</v>
      </c>
    </row>
    <row r="47" spans="1:10" ht="15" customHeight="1" x14ac:dyDescent="0.25">
      <c r="A47" s="34">
        <v>31</v>
      </c>
      <c r="B47" s="6">
        <f t="shared" si="1"/>
        <v>531.3584106707566</v>
      </c>
      <c r="C47" s="6">
        <f t="shared" si="2"/>
        <v>339.33</v>
      </c>
      <c r="D47" s="6">
        <f t="shared" si="3"/>
        <v>192.02841067075661</v>
      </c>
      <c r="E47" s="6">
        <f t="shared" si="4"/>
        <v>23046.739269206551</v>
      </c>
      <c r="F47" s="35">
        <f t="shared" si="5"/>
        <v>25</v>
      </c>
      <c r="G47" s="35">
        <v>0</v>
      </c>
      <c r="H47" s="6">
        <f t="shared" si="0"/>
        <v>556.3584106707566</v>
      </c>
      <c r="I47" s="36">
        <f t="shared" si="6"/>
        <v>46583</v>
      </c>
      <c r="J47" s="37" t="s">
        <v>107</v>
      </c>
    </row>
    <row r="48" spans="1:10" ht="15" customHeight="1" x14ac:dyDescent="0.25">
      <c r="A48" s="34">
        <v>32</v>
      </c>
      <c r="B48" s="6">
        <f t="shared" si="1"/>
        <v>531.3584106707566</v>
      </c>
      <c r="C48" s="6">
        <f t="shared" si="2"/>
        <v>336.52</v>
      </c>
      <c r="D48" s="6">
        <f t="shared" si="3"/>
        <v>194.83841067075662</v>
      </c>
      <c r="E48" s="6">
        <f t="shared" si="4"/>
        <v>22851.900858535795</v>
      </c>
      <c r="F48" s="35">
        <f t="shared" si="5"/>
        <v>25</v>
      </c>
      <c r="G48" s="35">
        <v>0</v>
      </c>
      <c r="H48" s="6">
        <f t="shared" si="0"/>
        <v>556.3584106707566</v>
      </c>
      <c r="I48" s="36">
        <f t="shared" si="6"/>
        <v>46614</v>
      </c>
      <c r="J48" s="37" t="s">
        <v>107</v>
      </c>
    </row>
    <row r="49" spans="1:10" ht="15" customHeight="1" x14ac:dyDescent="0.25">
      <c r="A49" s="34">
        <v>33</v>
      </c>
      <c r="B49" s="6">
        <f t="shared" si="1"/>
        <v>531.3584106707566</v>
      </c>
      <c r="C49" s="6">
        <f t="shared" si="2"/>
        <v>333.68</v>
      </c>
      <c r="D49" s="6">
        <f t="shared" si="3"/>
        <v>197.67841067075659</v>
      </c>
      <c r="E49" s="6">
        <f t="shared" si="4"/>
        <v>22654.222447865039</v>
      </c>
      <c r="F49" s="35">
        <f t="shared" si="5"/>
        <v>25</v>
      </c>
      <c r="G49" s="35">
        <v>0</v>
      </c>
      <c r="H49" s="6">
        <f t="shared" ref="H49:H80" si="7">IF(B49&gt;0,B49+F49,0)</f>
        <v>556.3584106707566</v>
      </c>
      <c r="I49" s="36">
        <f t="shared" si="6"/>
        <v>46645</v>
      </c>
      <c r="J49" s="37" t="s">
        <v>107</v>
      </c>
    </row>
    <row r="50" spans="1:10" ht="15" customHeight="1" x14ac:dyDescent="0.25">
      <c r="A50" s="34">
        <v>34</v>
      </c>
      <c r="B50" s="6">
        <f t="shared" ref="B50:B81" si="8">IF(E49&gt;0,MIN($E$5+G50+$H$11,E49+C50),0)</f>
        <v>531.3584106707566</v>
      </c>
      <c r="C50" s="6">
        <f t="shared" ref="C50:C81" si="9">IF(E49&gt;0,ROUND(E49*$E$4,2),0)</f>
        <v>330.79</v>
      </c>
      <c r="D50" s="6">
        <f t="shared" ref="D50:D81" si="10">IF(E49&gt;0,B50-C50,0)</f>
        <v>200.56841067075658</v>
      </c>
      <c r="E50" s="6">
        <f t="shared" ref="E50:E81" si="11">IF(E49&gt;0,MAX(E49-D50,0),0)</f>
        <v>22453.654037194283</v>
      </c>
      <c r="F50" s="35">
        <f t="shared" ref="F50:F81" si="12">IF(E49&gt;0,$H$5,0)</f>
        <v>25</v>
      </c>
      <c r="G50" s="35">
        <v>0</v>
      </c>
      <c r="H50" s="6">
        <f t="shared" si="7"/>
        <v>556.3584106707566</v>
      </c>
      <c r="I50" s="36">
        <f t="shared" ref="I50:I81" si="13">IF(E50&gt;0,EDATE($B$8,A50-1),"")</f>
        <v>46675</v>
      </c>
      <c r="J50" s="37" t="s">
        <v>107</v>
      </c>
    </row>
    <row r="51" spans="1:10" ht="15" customHeight="1" x14ac:dyDescent="0.25">
      <c r="A51" s="34">
        <v>35</v>
      </c>
      <c r="B51" s="6">
        <f t="shared" si="8"/>
        <v>531.3584106707566</v>
      </c>
      <c r="C51" s="6">
        <f t="shared" si="9"/>
        <v>327.86</v>
      </c>
      <c r="D51" s="6">
        <f t="shared" si="10"/>
        <v>203.49841067075658</v>
      </c>
      <c r="E51" s="6">
        <f t="shared" si="11"/>
        <v>22250.155626523527</v>
      </c>
      <c r="F51" s="35">
        <f t="shared" si="12"/>
        <v>25</v>
      </c>
      <c r="G51" s="35">
        <v>0</v>
      </c>
      <c r="H51" s="6">
        <f t="shared" si="7"/>
        <v>556.3584106707566</v>
      </c>
      <c r="I51" s="36">
        <f t="shared" si="13"/>
        <v>46706</v>
      </c>
      <c r="J51" s="37" t="s">
        <v>107</v>
      </c>
    </row>
    <row r="52" spans="1:10" ht="15" customHeight="1" x14ac:dyDescent="0.25">
      <c r="A52" s="34">
        <v>36</v>
      </c>
      <c r="B52" s="6">
        <f t="shared" si="8"/>
        <v>531.3584106707566</v>
      </c>
      <c r="C52" s="6">
        <f t="shared" si="9"/>
        <v>324.89</v>
      </c>
      <c r="D52" s="6">
        <f t="shared" si="10"/>
        <v>206.46841067075661</v>
      </c>
      <c r="E52" s="6">
        <f t="shared" si="11"/>
        <v>22043.687215852769</v>
      </c>
      <c r="F52" s="35">
        <f t="shared" si="12"/>
        <v>25</v>
      </c>
      <c r="G52" s="35">
        <v>0</v>
      </c>
      <c r="H52" s="6">
        <f t="shared" si="7"/>
        <v>556.3584106707566</v>
      </c>
      <c r="I52" s="36">
        <f t="shared" si="13"/>
        <v>46736</v>
      </c>
      <c r="J52" s="37" t="s">
        <v>107</v>
      </c>
    </row>
    <row r="53" spans="1:10" ht="15" customHeight="1" x14ac:dyDescent="0.25">
      <c r="A53" s="34">
        <v>37</v>
      </c>
      <c r="B53" s="6">
        <f t="shared" si="8"/>
        <v>531.3584106707566</v>
      </c>
      <c r="C53" s="6">
        <f t="shared" si="9"/>
        <v>321.88</v>
      </c>
      <c r="D53" s="6">
        <f t="shared" si="10"/>
        <v>209.4784106707566</v>
      </c>
      <c r="E53" s="6">
        <f t="shared" si="11"/>
        <v>21834.208805182014</v>
      </c>
      <c r="F53" s="35">
        <f t="shared" si="12"/>
        <v>25</v>
      </c>
      <c r="G53" s="35">
        <v>0</v>
      </c>
      <c r="H53" s="6">
        <f t="shared" si="7"/>
        <v>556.3584106707566</v>
      </c>
      <c r="I53" s="36">
        <f t="shared" si="13"/>
        <v>46767</v>
      </c>
      <c r="J53" s="37" t="s">
        <v>107</v>
      </c>
    </row>
    <row r="54" spans="1:10" ht="15" customHeight="1" x14ac:dyDescent="0.25">
      <c r="A54" s="34">
        <v>38</v>
      </c>
      <c r="B54" s="6">
        <f t="shared" si="8"/>
        <v>531.3584106707566</v>
      </c>
      <c r="C54" s="6">
        <f t="shared" si="9"/>
        <v>318.82</v>
      </c>
      <c r="D54" s="6">
        <f t="shared" si="10"/>
        <v>212.5384106707566</v>
      </c>
      <c r="E54" s="6">
        <f t="shared" si="11"/>
        <v>21621.670394511257</v>
      </c>
      <c r="F54" s="35">
        <f t="shared" si="12"/>
        <v>25</v>
      </c>
      <c r="G54" s="35">
        <v>0</v>
      </c>
      <c r="H54" s="6">
        <f t="shared" si="7"/>
        <v>556.3584106707566</v>
      </c>
      <c r="I54" s="36">
        <f t="shared" si="13"/>
        <v>46798</v>
      </c>
      <c r="J54" s="37" t="s">
        <v>107</v>
      </c>
    </row>
    <row r="55" spans="1:10" ht="15" customHeight="1" x14ac:dyDescent="0.25">
      <c r="A55" s="34">
        <v>39</v>
      </c>
      <c r="B55" s="6">
        <f t="shared" si="8"/>
        <v>531.3584106707566</v>
      </c>
      <c r="C55" s="6">
        <f t="shared" si="9"/>
        <v>315.70999999999998</v>
      </c>
      <c r="D55" s="6">
        <f t="shared" si="10"/>
        <v>215.64841067075662</v>
      </c>
      <c r="E55" s="6">
        <f t="shared" si="11"/>
        <v>21406.021983840499</v>
      </c>
      <c r="F55" s="35">
        <f t="shared" si="12"/>
        <v>25</v>
      </c>
      <c r="G55" s="35">
        <v>0</v>
      </c>
      <c r="H55" s="6">
        <f t="shared" si="7"/>
        <v>556.3584106707566</v>
      </c>
      <c r="I55" s="36">
        <f t="shared" si="13"/>
        <v>46827</v>
      </c>
      <c r="J55" s="37" t="s">
        <v>107</v>
      </c>
    </row>
    <row r="56" spans="1:10" ht="15" customHeight="1" x14ac:dyDescent="0.25">
      <c r="A56" s="34">
        <v>40</v>
      </c>
      <c r="B56" s="6">
        <f t="shared" si="8"/>
        <v>531.3584106707566</v>
      </c>
      <c r="C56" s="6">
        <f t="shared" si="9"/>
        <v>312.56</v>
      </c>
      <c r="D56" s="6">
        <f t="shared" si="10"/>
        <v>218.7984106707566</v>
      </c>
      <c r="E56" s="6">
        <f t="shared" si="11"/>
        <v>21187.223573169744</v>
      </c>
      <c r="F56" s="35">
        <f t="shared" si="12"/>
        <v>25</v>
      </c>
      <c r="G56" s="35">
        <v>0</v>
      </c>
      <c r="H56" s="6">
        <f t="shared" si="7"/>
        <v>556.3584106707566</v>
      </c>
      <c r="I56" s="36">
        <f t="shared" si="13"/>
        <v>46858</v>
      </c>
      <c r="J56" s="37" t="s">
        <v>107</v>
      </c>
    </row>
    <row r="57" spans="1:10" ht="15" customHeight="1" x14ac:dyDescent="0.25">
      <c r="A57" s="34">
        <v>41</v>
      </c>
      <c r="B57" s="6">
        <f t="shared" si="8"/>
        <v>531.3584106707566</v>
      </c>
      <c r="C57" s="6">
        <f t="shared" si="9"/>
        <v>309.37</v>
      </c>
      <c r="D57" s="6">
        <f t="shared" si="10"/>
        <v>221.98841067075659</v>
      </c>
      <c r="E57" s="6">
        <f t="shared" si="11"/>
        <v>20965.235162498986</v>
      </c>
      <c r="F57" s="35">
        <f t="shared" si="12"/>
        <v>25</v>
      </c>
      <c r="G57" s="35">
        <v>0</v>
      </c>
      <c r="H57" s="6">
        <f t="shared" si="7"/>
        <v>556.3584106707566</v>
      </c>
      <c r="I57" s="36">
        <f t="shared" si="13"/>
        <v>46888</v>
      </c>
      <c r="J57" s="37" t="s">
        <v>107</v>
      </c>
    </row>
    <row r="58" spans="1:10" ht="15" customHeight="1" x14ac:dyDescent="0.25">
      <c r="A58" s="34">
        <v>42</v>
      </c>
      <c r="B58" s="6">
        <f t="shared" si="8"/>
        <v>531.3584106707566</v>
      </c>
      <c r="C58" s="6">
        <f t="shared" si="9"/>
        <v>306.13</v>
      </c>
      <c r="D58" s="6">
        <f t="shared" si="10"/>
        <v>225.2284106707566</v>
      </c>
      <c r="E58" s="6">
        <f t="shared" si="11"/>
        <v>20740.00675182823</v>
      </c>
      <c r="F58" s="35">
        <f t="shared" si="12"/>
        <v>25</v>
      </c>
      <c r="G58" s="35">
        <v>0</v>
      </c>
      <c r="H58" s="6">
        <f t="shared" si="7"/>
        <v>556.3584106707566</v>
      </c>
      <c r="I58" s="36">
        <f t="shared" si="13"/>
        <v>46919</v>
      </c>
      <c r="J58" s="37" t="s">
        <v>107</v>
      </c>
    </row>
    <row r="59" spans="1:10" ht="15" customHeight="1" x14ac:dyDescent="0.25">
      <c r="A59" s="34">
        <v>43</v>
      </c>
      <c r="B59" s="6">
        <f t="shared" si="8"/>
        <v>531.3584106707566</v>
      </c>
      <c r="C59" s="6">
        <f t="shared" si="9"/>
        <v>302.83999999999997</v>
      </c>
      <c r="D59" s="6">
        <f t="shared" si="10"/>
        <v>228.51841067075662</v>
      </c>
      <c r="E59" s="6">
        <f t="shared" si="11"/>
        <v>20511.488341157474</v>
      </c>
      <c r="F59" s="35">
        <f t="shared" si="12"/>
        <v>25</v>
      </c>
      <c r="G59" s="35">
        <v>0</v>
      </c>
      <c r="H59" s="6">
        <f t="shared" si="7"/>
        <v>556.3584106707566</v>
      </c>
      <c r="I59" s="36">
        <f t="shared" si="13"/>
        <v>46949</v>
      </c>
      <c r="J59" s="37" t="s">
        <v>107</v>
      </c>
    </row>
    <row r="60" spans="1:10" ht="15" customHeight="1" x14ac:dyDescent="0.25">
      <c r="A60" s="34">
        <v>44</v>
      </c>
      <c r="B60" s="6">
        <f t="shared" si="8"/>
        <v>531.3584106707566</v>
      </c>
      <c r="C60" s="6">
        <f t="shared" si="9"/>
        <v>299.5</v>
      </c>
      <c r="D60" s="6">
        <f t="shared" si="10"/>
        <v>231.8584106707566</v>
      </c>
      <c r="E60" s="6">
        <f t="shared" si="11"/>
        <v>20279.629930486717</v>
      </c>
      <c r="F60" s="35">
        <f t="shared" si="12"/>
        <v>25</v>
      </c>
      <c r="G60" s="35">
        <v>0</v>
      </c>
      <c r="H60" s="6">
        <f t="shared" si="7"/>
        <v>556.3584106707566</v>
      </c>
      <c r="I60" s="36">
        <f t="shared" si="13"/>
        <v>46980</v>
      </c>
      <c r="J60" s="37" t="s">
        <v>107</v>
      </c>
    </row>
    <row r="61" spans="1:10" ht="15" customHeight="1" x14ac:dyDescent="0.25">
      <c r="A61" s="34">
        <v>45</v>
      </c>
      <c r="B61" s="6">
        <f t="shared" si="8"/>
        <v>531.3584106707566</v>
      </c>
      <c r="C61" s="6">
        <f t="shared" si="9"/>
        <v>296.12</v>
      </c>
      <c r="D61" s="6">
        <f t="shared" si="10"/>
        <v>235.23841067075659</v>
      </c>
      <c r="E61" s="6">
        <f t="shared" si="11"/>
        <v>20044.391519815959</v>
      </c>
      <c r="F61" s="35">
        <f t="shared" si="12"/>
        <v>25</v>
      </c>
      <c r="G61" s="35">
        <v>0</v>
      </c>
      <c r="H61" s="6">
        <f t="shared" si="7"/>
        <v>556.3584106707566</v>
      </c>
      <c r="I61" s="36">
        <f t="shared" si="13"/>
        <v>47011</v>
      </c>
      <c r="J61" s="37" t="s">
        <v>107</v>
      </c>
    </row>
    <row r="62" spans="1:10" ht="15" customHeight="1" x14ac:dyDescent="0.25">
      <c r="A62" s="34">
        <v>46</v>
      </c>
      <c r="B62" s="6">
        <f t="shared" si="8"/>
        <v>531.3584106707566</v>
      </c>
      <c r="C62" s="6">
        <f t="shared" si="9"/>
        <v>292.68</v>
      </c>
      <c r="D62" s="6">
        <f t="shared" si="10"/>
        <v>238.67841067075659</v>
      </c>
      <c r="E62" s="6">
        <f t="shared" si="11"/>
        <v>19805.713109145203</v>
      </c>
      <c r="F62" s="35">
        <f t="shared" si="12"/>
        <v>25</v>
      </c>
      <c r="G62" s="35">
        <v>0</v>
      </c>
      <c r="H62" s="6">
        <f t="shared" si="7"/>
        <v>556.3584106707566</v>
      </c>
      <c r="I62" s="36">
        <f t="shared" si="13"/>
        <v>47041</v>
      </c>
      <c r="J62" s="37" t="s">
        <v>107</v>
      </c>
    </row>
    <row r="63" spans="1:10" ht="15" customHeight="1" x14ac:dyDescent="0.25">
      <c r="A63" s="34">
        <v>47</v>
      </c>
      <c r="B63" s="6">
        <f t="shared" si="8"/>
        <v>531.3584106707566</v>
      </c>
      <c r="C63" s="6">
        <f t="shared" si="9"/>
        <v>289.2</v>
      </c>
      <c r="D63" s="6">
        <f t="shared" si="10"/>
        <v>242.15841067075661</v>
      </c>
      <c r="E63" s="6">
        <f t="shared" si="11"/>
        <v>19563.554698474447</v>
      </c>
      <c r="F63" s="35">
        <f t="shared" si="12"/>
        <v>25</v>
      </c>
      <c r="G63" s="35">
        <v>0</v>
      </c>
      <c r="H63" s="6">
        <f t="shared" si="7"/>
        <v>556.3584106707566</v>
      </c>
      <c r="I63" s="36">
        <f t="shared" si="13"/>
        <v>47072</v>
      </c>
      <c r="J63" s="37" t="s">
        <v>107</v>
      </c>
    </row>
    <row r="64" spans="1:10" ht="15" customHeight="1" x14ac:dyDescent="0.25">
      <c r="A64" s="34">
        <v>48</v>
      </c>
      <c r="B64" s="6">
        <f t="shared" si="8"/>
        <v>531.3584106707566</v>
      </c>
      <c r="C64" s="6">
        <f t="shared" si="9"/>
        <v>285.66000000000003</v>
      </c>
      <c r="D64" s="6">
        <f t="shared" si="10"/>
        <v>245.69841067075657</v>
      </c>
      <c r="E64" s="6">
        <f t="shared" si="11"/>
        <v>19317.85628780369</v>
      </c>
      <c r="F64" s="35">
        <f t="shared" si="12"/>
        <v>25</v>
      </c>
      <c r="G64" s="35">
        <v>0</v>
      </c>
      <c r="H64" s="6">
        <f t="shared" si="7"/>
        <v>556.3584106707566</v>
      </c>
      <c r="I64" s="36">
        <f t="shared" si="13"/>
        <v>47102</v>
      </c>
      <c r="J64" s="37" t="s">
        <v>107</v>
      </c>
    </row>
    <row r="65" spans="1:10" ht="15" customHeight="1" x14ac:dyDescent="0.25">
      <c r="A65" s="34">
        <v>49</v>
      </c>
      <c r="B65" s="6">
        <f t="shared" si="8"/>
        <v>531.3584106707566</v>
      </c>
      <c r="C65" s="6">
        <f t="shared" si="9"/>
        <v>282.07</v>
      </c>
      <c r="D65" s="6">
        <f t="shared" si="10"/>
        <v>249.2884106707566</v>
      </c>
      <c r="E65" s="6">
        <f t="shared" si="11"/>
        <v>19068.567877132933</v>
      </c>
      <c r="F65" s="35">
        <f t="shared" si="12"/>
        <v>25</v>
      </c>
      <c r="G65" s="35">
        <v>0</v>
      </c>
      <c r="H65" s="6">
        <f t="shared" si="7"/>
        <v>556.3584106707566</v>
      </c>
      <c r="I65" s="36">
        <f t="shared" si="13"/>
        <v>47133</v>
      </c>
      <c r="J65" s="37" t="s">
        <v>107</v>
      </c>
    </row>
    <row r="66" spans="1:10" ht="15" customHeight="1" x14ac:dyDescent="0.25">
      <c r="A66" s="34">
        <v>50</v>
      </c>
      <c r="B66" s="6">
        <f t="shared" si="8"/>
        <v>531.3584106707566</v>
      </c>
      <c r="C66" s="6">
        <f t="shared" si="9"/>
        <v>278.43</v>
      </c>
      <c r="D66" s="6">
        <f t="shared" si="10"/>
        <v>252.92841067075659</v>
      </c>
      <c r="E66" s="6">
        <f t="shared" si="11"/>
        <v>18815.639466462177</v>
      </c>
      <c r="F66" s="35">
        <f t="shared" si="12"/>
        <v>25</v>
      </c>
      <c r="G66" s="35">
        <v>0</v>
      </c>
      <c r="H66" s="6">
        <f t="shared" si="7"/>
        <v>556.3584106707566</v>
      </c>
      <c r="I66" s="36">
        <f t="shared" si="13"/>
        <v>47164</v>
      </c>
      <c r="J66" s="37" t="s">
        <v>107</v>
      </c>
    </row>
    <row r="67" spans="1:10" ht="15" customHeight="1" x14ac:dyDescent="0.25">
      <c r="A67" s="34">
        <v>51</v>
      </c>
      <c r="B67" s="6">
        <f t="shared" si="8"/>
        <v>531.3584106707566</v>
      </c>
      <c r="C67" s="6">
        <f t="shared" si="9"/>
        <v>274.74</v>
      </c>
      <c r="D67" s="6">
        <f t="shared" si="10"/>
        <v>256.61841067075659</v>
      </c>
      <c r="E67" s="6">
        <f t="shared" si="11"/>
        <v>18559.021055791422</v>
      </c>
      <c r="F67" s="35">
        <f t="shared" si="12"/>
        <v>25</v>
      </c>
      <c r="G67" s="35">
        <v>0</v>
      </c>
      <c r="H67" s="6">
        <f t="shared" si="7"/>
        <v>556.3584106707566</v>
      </c>
      <c r="I67" s="36">
        <f t="shared" si="13"/>
        <v>47192</v>
      </c>
      <c r="J67" s="37" t="s">
        <v>107</v>
      </c>
    </row>
    <row r="68" spans="1:10" ht="15" customHeight="1" x14ac:dyDescent="0.25">
      <c r="A68" s="34">
        <v>52</v>
      </c>
      <c r="B68" s="6">
        <f t="shared" si="8"/>
        <v>531.3584106707566</v>
      </c>
      <c r="C68" s="6">
        <f t="shared" si="9"/>
        <v>270.99</v>
      </c>
      <c r="D68" s="6">
        <f t="shared" si="10"/>
        <v>260.36841067075659</v>
      </c>
      <c r="E68" s="6">
        <f t="shared" si="11"/>
        <v>18298.652645120666</v>
      </c>
      <c r="F68" s="35">
        <f t="shared" si="12"/>
        <v>25</v>
      </c>
      <c r="G68" s="35">
        <v>0</v>
      </c>
      <c r="H68" s="6">
        <f t="shared" si="7"/>
        <v>556.3584106707566</v>
      </c>
      <c r="I68" s="36">
        <f t="shared" si="13"/>
        <v>47223</v>
      </c>
      <c r="J68" s="37" t="s">
        <v>107</v>
      </c>
    </row>
    <row r="69" spans="1:10" ht="15" customHeight="1" x14ac:dyDescent="0.25">
      <c r="A69" s="34">
        <v>53</v>
      </c>
      <c r="B69" s="6">
        <f t="shared" si="8"/>
        <v>531.3584106707566</v>
      </c>
      <c r="C69" s="6">
        <f t="shared" si="9"/>
        <v>267.19</v>
      </c>
      <c r="D69" s="6">
        <f t="shared" si="10"/>
        <v>264.1684106707566</v>
      </c>
      <c r="E69" s="6">
        <f t="shared" si="11"/>
        <v>18034.484234449908</v>
      </c>
      <c r="F69" s="35">
        <f t="shared" si="12"/>
        <v>25</v>
      </c>
      <c r="G69" s="35">
        <v>0</v>
      </c>
      <c r="H69" s="6">
        <f t="shared" si="7"/>
        <v>556.3584106707566</v>
      </c>
      <c r="I69" s="36">
        <f t="shared" si="13"/>
        <v>47253</v>
      </c>
      <c r="J69" s="37" t="s">
        <v>107</v>
      </c>
    </row>
    <row r="70" spans="1:10" ht="15" customHeight="1" x14ac:dyDescent="0.25">
      <c r="A70" s="34">
        <v>54</v>
      </c>
      <c r="B70" s="6">
        <f t="shared" si="8"/>
        <v>531.3584106707566</v>
      </c>
      <c r="C70" s="6">
        <f t="shared" si="9"/>
        <v>263.33</v>
      </c>
      <c r="D70" s="6">
        <f t="shared" si="10"/>
        <v>268.02841067075661</v>
      </c>
      <c r="E70" s="6">
        <f t="shared" si="11"/>
        <v>17766.455823779153</v>
      </c>
      <c r="F70" s="35">
        <f t="shared" si="12"/>
        <v>25</v>
      </c>
      <c r="G70" s="35">
        <v>0</v>
      </c>
      <c r="H70" s="6">
        <f t="shared" si="7"/>
        <v>556.3584106707566</v>
      </c>
      <c r="I70" s="36">
        <f t="shared" si="13"/>
        <v>47284</v>
      </c>
      <c r="J70" s="37" t="s">
        <v>107</v>
      </c>
    </row>
    <row r="71" spans="1:10" ht="15" customHeight="1" x14ac:dyDescent="0.25">
      <c r="A71" s="34">
        <v>55</v>
      </c>
      <c r="B71" s="6">
        <f t="shared" si="8"/>
        <v>531.3584106707566</v>
      </c>
      <c r="C71" s="6">
        <f t="shared" si="9"/>
        <v>259.42</v>
      </c>
      <c r="D71" s="6">
        <f t="shared" si="10"/>
        <v>271.93841067075658</v>
      </c>
      <c r="E71" s="6">
        <f t="shared" si="11"/>
        <v>17494.517413108399</v>
      </c>
      <c r="F71" s="35">
        <f t="shared" si="12"/>
        <v>25</v>
      </c>
      <c r="G71" s="35">
        <v>0</v>
      </c>
      <c r="H71" s="6">
        <f t="shared" si="7"/>
        <v>556.3584106707566</v>
      </c>
      <c r="I71" s="36">
        <f t="shared" si="13"/>
        <v>47314</v>
      </c>
      <c r="J71" s="37" t="s">
        <v>107</v>
      </c>
    </row>
    <row r="72" spans="1:10" ht="15" customHeight="1" x14ac:dyDescent="0.25">
      <c r="A72" s="34">
        <v>56</v>
      </c>
      <c r="B72" s="6">
        <f t="shared" si="8"/>
        <v>531.3584106707566</v>
      </c>
      <c r="C72" s="6">
        <f t="shared" si="9"/>
        <v>255.45</v>
      </c>
      <c r="D72" s="6">
        <f t="shared" si="10"/>
        <v>275.90841067075661</v>
      </c>
      <c r="E72" s="6">
        <f t="shared" si="11"/>
        <v>17218.609002437643</v>
      </c>
      <c r="F72" s="35">
        <f t="shared" si="12"/>
        <v>25</v>
      </c>
      <c r="G72" s="35">
        <v>0</v>
      </c>
      <c r="H72" s="6">
        <f t="shared" si="7"/>
        <v>556.3584106707566</v>
      </c>
      <c r="I72" s="36">
        <f t="shared" si="13"/>
        <v>47345</v>
      </c>
      <c r="J72" s="37" t="s">
        <v>107</v>
      </c>
    </row>
    <row r="73" spans="1:10" ht="15" customHeight="1" x14ac:dyDescent="0.25">
      <c r="A73" s="34">
        <v>57</v>
      </c>
      <c r="B73" s="6">
        <f t="shared" si="8"/>
        <v>531.3584106707566</v>
      </c>
      <c r="C73" s="6">
        <f t="shared" si="9"/>
        <v>251.42</v>
      </c>
      <c r="D73" s="6">
        <f t="shared" si="10"/>
        <v>279.93841067075664</v>
      </c>
      <c r="E73" s="6">
        <f t="shared" si="11"/>
        <v>16938.670591766888</v>
      </c>
      <c r="F73" s="35">
        <f t="shared" si="12"/>
        <v>25</v>
      </c>
      <c r="G73" s="35">
        <v>0</v>
      </c>
      <c r="H73" s="6">
        <f t="shared" si="7"/>
        <v>556.3584106707566</v>
      </c>
      <c r="I73" s="36">
        <f t="shared" si="13"/>
        <v>47376</v>
      </c>
      <c r="J73" s="37" t="s">
        <v>107</v>
      </c>
    </row>
    <row r="74" spans="1:10" ht="15" customHeight="1" x14ac:dyDescent="0.25">
      <c r="A74" s="34">
        <v>58</v>
      </c>
      <c r="B74" s="6">
        <f t="shared" si="8"/>
        <v>531.3584106707566</v>
      </c>
      <c r="C74" s="6">
        <f t="shared" si="9"/>
        <v>247.33</v>
      </c>
      <c r="D74" s="6">
        <f t="shared" si="10"/>
        <v>284.02841067075656</v>
      </c>
      <c r="E74" s="6">
        <f t="shared" si="11"/>
        <v>16654.642181096133</v>
      </c>
      <c r="F74" s="35">
        <f t="shared" si="12"/>
        <v>25</v>
      </c>
      <c r="G74" s="35">
        <v>0</v>
      </c>
      <c r="H74" s="6">
        <f t="shared" si="7"/>
        <v>556.3584106707566</v>
      </c>
      <c r="I74" s="36">
        <f t="shared" si="13"/>
        <v>47406</v>
      </c>
      <c r="J74" s="37" t="s">
        <v>107</v>
      </c>
    </row>
    <row r="75" spans="1:10" ht="15" customHeight="1" x14ac:dyDescent="0.25">
      <c r="A75" s="34">
        <v>59</v>
      </c>
      <c r="B75" s="6">
        <f t="shared" si="8"/>
        <v>531.3584106707566</v>
      </c>
      <c r="C75" s="6">
        <f t="shared" si="9"/>
        <v>243.19</v>
      </c>
      <c r="D75" s="6">
        <f t="shared" si="10"/>
        <v>288.1684106707566</v>
      </c>
      <c r="E75" s="6">
        <f t="shared" si="11"/>
        <v>16366.473770425377</v>
      </c>
      <c r="F75" s="35">
        <f t="shared" si="12"/>
        <v>25</v>
      </c>
      <c r="G75" s="35">
        <v>0</v>
      </c>
      <c r="H75" s="6">
        <f t="shared" si="7"/>
        <v>556.3584106707566</v>
      </c>
      <c r="I75" s="36">
        <f t="shared" si="13"/>
        <v>47437</v>
      </c>
      <c r="J75" s="37" t="s">
        <v>107</v>
      </c>
    </row>
    <row r="76" spans="1:10" ht="15" customHeight="1" x14ac:dyDescent="0.25">
      <c r="A76" s="34">
        <v>60</v>
      </c>
      <c r="B76" s="6">
        <f t="shared" si="8"/>
        <v>531.3584106707566</v>
      </c>
      <c r="C76" s="6">
        <f t="shared" si="9"/>
        <v>238.98</v>
      </c>
      <c r="D76" s="6">
        <f t="shared" si="10"/>
        <v>292.37841067075658</v>
      </c>
      <c r="E76" s="6">
        <f t="shared" si="11"/>
        <v>16074.095359754619</v>
      </c>
      <c r="F76" s="35">
        <f t="shared" si="12"/>
        <v>25</v>
      </c>
      <c r="G76" s="35">
        <v>0</v>
      </c>
      <c r="H76" s="6">
        <f t="shared" si="7"/>
        <v>556.3584106707566</v>
      </c>
      <c r="I76" s="36">
        <f t="shared" si="13"/>
        <v>47467</v>
      </c>
      <c r="J76" s="37" t="s">
        <v>107</v>
      </c>
    </row>
    <row r="77" spans="1:10" ht="15" customHeight="1" x14ac:dyDescent="0.25">
      <c r="A77" s="34">
        <v>61</v>
      </c>
      <c r="B77" s="6">
        <f t="shared" si="8"/>
        <v>531.3584106707566</v>
      </c>
      <c r="C77" s="6">
        <f t="shared" si="9"/>
        <v>234.71</v>
      </c>
      <c r="D77" s="6">
        <f t="shared" si="10"/>
        <v>296.64841067075656</v>
      </c>
      <c r="E77" s="6">
        <f t="shared" si="11"/>
        <v>15777.446949083864</v>
      </c>
      <c r="F77" s="35">
        <f t="shared" si="12"/>
        <v>25</v>
      </c>
      <c r="G77" s="35">
        <v>0</v>
      </c>
      <c r="H77" s="6">
        <f t="shared" si="7"/>
        <v>556.3584106707566</v>
      </c>
      <c r="I77" s="36">
        <f t="shared" si="13"/>
        <v>47498</v>
      </c>
      <c r="J77" s="37" t="s">
        <v>107</v>
      </c>
    </row>
    <row r="78" spans="1:10" ht="15" customHeight="1" x14ac:dyDescent="0.25">
      <c r="A78" s="34">
        <v>62</v>
      </c>
      <c r="B78" s="6">
        <f t="shared" si="8"/>
        <v>531.3584106707566</v>
      </c>
      <c r="C78" s="6">
        <f t="shared" si="9"/>
        <v>230.38</v>
      </c>
      <c r="D78" s="6">
        <f t="shared" si="10"/>
        <v>300.9784106707566</v>
      </c>
      <c r="E78" s="6">
        <f t="shared" si="11"/>
        <v>15476.468538413108</v>
      </c>
      <c r="F78" s="35">
        <f t="shared" si="12"/>
        <v>25</v>
      </c>
      <c r="G78" s="35">
        <v>0</v>
      </c>
      <c r="H78" s="6">
        <f t="shared" si="7"/>
        <v>556.3584106707566</v>
      </c>
      <c r="I78" s="36">
        <f t="shared" si="13"/>
        <v>47529</v>
      </c>
      <c r="J78" s="37" t="s">
        <v>107</v>
      </c>
    </row>
    <row r="79" spans="1:10" ht="15" customHeight="1" x14ac:dyDescent="0.25">
      <c r="A79" s="34">
        <v>63</v>
      </c>
      <c r="B79" s="6">
        <f t="shared" si="8"/>
        <v>531.3584106707566</v>
      </c>
      <c r="C79" s="6">
        <f t="shared" si="9"/>
        <v>225.98</v>
      </c>
      <c r="D79" s="6">
        <f t="shared" si="10"/>
        <v>305.37841067075658</v>
      </c>
      <c r="E79" s="6">
        <f t="shared" si="11"/>
        <v>15171.090127742351</v>
      </c>
      <c r="F79" s="35">
        <f t="shared" si="12"/>
        <v>25</v>
      </c>
      <c r="G79" s="35">
        <v>0</v>
      </c>
      <c r="H79" s="6">
        <f t="shared" si="7"/>
        <v>556.3584106707566</v>
      </c>
      <c r="I79" s="36">
        <f t="shared" si="13"/>
        <v>47557</v>
      </c>
      <c r="J79" s="37" t="s">
        <v>107</v>
      </c>
    </row>
    <row r="80" spans="1:10" ht="15" customHeight="1" x14ac:dyDescent="0.25">
      <c r="A80" s="34">
        <v>64</v>
      </c>
      <c r="B80" s="6">
        <f t="shared" si="8"/>
        <v>531.3584106707566</v>
      </c>
      <c r="C80" s="6">
        <f t="shared" si="9"/>
        <v>221.52</v>
      </c>
      <c r="D80" s="6">
        <f t="shared" si="10"/>
        <v>309.83841067075662</v>
      </c>
      <c r="E80" s="6">
        <f t="shared" si="11"/>
        <v>14861.251717071595</v>
      </c>
      <c r="F80" s="35">
        <f t="shared" si="12"/>
        <v>25</v>
      </c>
      <c r="G80" s="35">
        <v>0</v>
      </c>
      <c r="H80" s="6">
        <f t="shared" si="7"/>
        <v>556.3584106707566</v>
      </c>
      <c r="I80" s="36">
        <f t="shared" si="13"/>
        <v>47588</v>
      </c>
      <c r="J80" s="37" t="s">
        <v>107</v>
      </c>
    </row>
    <row r="81" spans="1:10" ht="15" customHeight="1" x14ac:dyDescent="0.25">
      <c r="A81" s="34">
        <v>65</v>
      </c>
      <c r="B81" s="6">
        <f t="shared" si="8"/>
        <v>531.3584106707566</v>
      </c>
      <c r="C81" s="6">
        <f t="shared" si="9"/>
        <v>217</v>
      </c>
      <c r="D81" s="6">
        <f t="shared" si="10"/>
        <v>314.3584106707566</v>
      </c>
      <c r="E81" s="6">
        <f t="shared" si="11"/>
        <v>14546.893306400838</v>
      </c>
      <c r="F81" s="35">
        <f t="shared" si="12"/>
        <v>25</v>
      </c>
      <c r="G81" s="35">
        <v>0</v>
      </c>
      <c r="H81" s="6">
        <f t="shared" ref="H81:H112" si="14">IF(B81&gt;0,B81+F81,0)</f>
        <v>556.3584106707566</v>
      </c>
      <c r="I81" s="36">
        <f t="shared" si="13"/>
        <v>47618</v>
      </c>
      <c r="J81" s="37" t="s">
        <v>107</v>
      </c>
    </row>
    <row r="82" spans="1:10" ht="15" customHeight="1" x14ac:dyDescent="0.25">
      <c r="A82" s="34">
        <v>66</v>
      </c>
      <c r="B82" s="6">
        <f t="shared" ref="B82:B113" si="15">IF(E81&gt;0,MIN($E$5+G82+$H$11,E81+C82),0)</f>
        <v>531.3584106707566</v>
      </c>
      <c r="C82" s="6">
        <f t="shared" ref="C82:C113" si="16">IF(E81&gt;0,ROUND(E81*$E$4,2),0)</f>
        <v>212.41</v>
      </c>
      <c r="D82" s="6">
        <f t="shared" ref="D82:D113" si="17">IF(E81&gt;0,B82-C82,0)</f>
        <v>318.94841067075663</v>
      </c>
      <c r="E82" s="6">
        <f t="shared" ref="E82:E113" si="18">IF(E81&gt;0,MAX(E81-D82,0),0)</f>
        <v>14227.944895730081</v>
      </c>
      <c r="F82" s="35">
        <f t="shared" ref="F82:F113" si="19">IF(E81&gt;0,$H$5,0)</f>
        <v>25</v>
      </c>
      <c r="G82" s="35">
        <v>0</v>
      </c>
      <c r="H82" s="6">
        <f t="shared" si="14"/>
        <v>556.3584106707566</v>
      </c>
      <c r="I82" s="36">
        <f t="shared" ref="I82:I113" si="20">IF(E82&gt;0,EDATE($B$8,A82-1),"")</f>
        <v>47649</v>
      </c>
      <c r="J82" s="37" t="s">
        <v>107</v>
      </c>
    </row>
    <row r="83" spans="1:10" ht="15" customHeight="1" x14ac:dyDescent="0.25">
      <c r="A83" s="34">
        <v>67</v>
      </c>
      <c r="B83" s="6">
        <f t="shared" si="15"/>
        <v>531.3584106707566</v>
      </c>
      <c r="C83" s="6">
        <f t="shared" si="16"/>
        <v>207.75</v>
      </c>
      <c r="D83" s="6">
        <f t="shared" si="17"/>
        <v>323.6084106707566</v>
      </c>
      <c r="E83" s="6">
        <f t="shared" si="18"/>
        <v>13904.336485059324</v>
      </c>
      <c r="F83" s="35">
        <f t="shared" si="19"/>
        <v>25</v>
      </c>
      <c r="G83" s="35">
        <v>0</v>
      </c>
      <c r="H83" s="6">
        <f t="shared" si="14"/>
        <v>556.3584106707566</v>
      </c>
      <c r="I83" s="36">
        <f t="shared" si="20"/>
        <v>47679</v>
      </c>
      <c r="J83" s="37" t="s">
        <v>107</v>
      </c>
    </row>
    <row r="84" spans="1:10" ht="15" customHeight="1" x14ac:dyDescent="0.25">
      <c r="A84" s="34">
        <v>68</v>
      </c>
      <c r="B84" s="6">
        <f t="shared" si="15"/>
        <v>531.3584106707566</v>
      </c>
      <c r="C84" s="6">
        <f t="shared" si="16"/>
        <v>203.03</v>
      </c>
      <c r="D84" s="6">
        <f t="shared" si="17"/>
        <v>328.32841067075663</v>
      </c>
      <c r="E84" s="6">
        <f t="shared" si="18"/>
        <v>13576.008074388568</v>
      </c>
      <c r="F84" s="35">
        <f t="shared" si="19"/>
        <v>25</v>
      </c>
      <c r="G84" s="35">
        <v>0</v>
      </c>
      <c r="H84" s="6">
        <f t="shared" si="14"/>
        <v>556.3584106707566</v>
      </c>
      <c r="I84" s="36">
        <f t="shared" si="20"/>
        <v>47710</v>
      </c>
      <c r="J84" s="37" t="s">
        <v>107</v>
      </c>
    </row>
    <row r="85" spans="1:10" ht="15" customHeight="1" x14ac:dyDescent="0.25">
      <c r="A85" s="34">
        <v>69</v>
      </c>
      <c r="B85" s="6">
        <f t="shared" si="15"/>
        <v>531.3584106707566</v>
      </c>
      <c r="C85" s="6">
        <f t="shared" si="16"/>
        <v>198.23</v>
      </c>
      <c r="D85" s="6">
        <f t="shared" si="17"/>
        <v>333.12841067075658</v>
      </c>
      <c r="E85" s="6">
        <f t="shared" si="18"/>
        <v>13242.879663717811</v>
      </c>
      <c r="F85" s="35">
        <f t="shared" si="19"/>
        <v>25</v>
      </c>
      <c r="G85" s="35">
        <v>0</v>
      </c>
      <c r="H85" s="6">
        <f t="shared" si="14"/>
        <v>556.3584106707566</v>
      </c>
      <c r="I85" s="36">
        <f t="shared" si="20"/>
        <v>47741</v>
      </c>
      <c r="J85" s="37" t="s">
        <v>107</v>
      </c>
    </row>
    <row r="86" spans="1:10" ht="15" customHeight="1" x14ac:dyDescent="0.25">
      <c r="A86" s="34">
        <v>70</v>
      </c>
      <c r="B86" s="6">
        <f t="shared" si="15"/>
        <v>531.3584106707566</v>
      </c>
      <c r="C86" s="6">
        <f t="shared" si="16"/>
        <v>193.37</v>
      </c>
      <c r="D86" s="6">
        <f t="shared" si="17"/>
        <v>337.98841067075659</v>
      </c>
      <c r="E86" s="6">
        <f t="shared" si="18"/>
        <v>12904.891253047055</v>
      </c>
      <c r="F86" s="35">
        <f t="shared" si="19"/>
        <v>25</v>
      </c>
      <c r="G86" s="35">
        <v>0</v>
      </c>
      <c r="H86" s="6">
        <f t="shared" si="14"/>
        <v>556.3584106707566</v>
      </c>
      <c r="I86" s="36">
        <f t="shared" si="20"/>
        <v>47771</v>
      </c>
      <c r="J86" s="37" t="s">
        <v>107</v>
      </c>
    </row>
    <row r="87" spans="1:10" ht="15" customHeight="1" x14ac:dyDescent="0.25">
      <c r="A87" s="34">
        <v>71</v>
      </c>
      <c r="B87" s="6">
        <f t="shared" si="15"/>
        <v>531.3584106707566</v>
      </c>
      <c r="C87" s="6">
        <f t="shared" si="16"/>
        <v>188.43</v>
      </c>
      <c r="D87" s="6">
        <f t="shared" si="17"/>
        <v>342.92841067075659</v>
      </c>
      <c r="E87" s="6">
        <f t="shared" si="18"/>
        <v>12561.962842376299</v>
      </c>
      <c r="F87" s="35">
        <f t="shared" si="19"/>
        <v>25</v>
      </c>
      <c r="G87" s="35">
        <v>0</v>
      </c>
      <c r="H87" s="6">
        <f t="shared" si="14"/>
        <v>556.3584106707566</v>
      </c>
      <c r="I87" s="36">
        <f t="shared" si="20"/>
        <v>47802</v>
      </c>
      <c r="J87" s="37" t="s">
        <v>107</v>
      </c>
    </row>
    <row r="88" spans="1:10" ht="15" customHeight="1" x14ac:dyDescent="0.25">
      <c r="A88" s="34">
        <v>72</v>
      </c>
      <c r="B88" s="6">
        <f t="shared" si="15"/>
        <v>531.3584106707566</v>
      </c>
      <c r="C88" s="6">
        <f t="shared" si="16"/>
        <v>183.43</v>
      </c>
      <c r="D88" s="6">
        <f t="shared" si="17"/>
        <v>347.92841067075659</v>
      </c>
      <c r="E88" s="6">
        <f t="shared" si="18"/>
        <v>12214.034431705542</v>
      </c>
      <c r="F88" s="35">
        <f t="shared" si="19"/>
        <v>25</v>
      </c>
      <c r="G88" s="35">
        <v>0</v>
      </c>
      <c r="H88" s="6">
        <f t="shared" si="14"/>
        <v>556.3584106707566</v>
      </c>
      <c r="I88" s="36">
        <f t="shared" si="20"/>
        <v>47832</v>
      </c>
      <c r="J88" s="37" t="s">
        <v>107</v>
      </c>
    </row>
    <row r="89" spans="1:10" ht="15" customHeight="1" x14ac:dyDescent="0.25">
      <c r="A89" s="34">
        <v>73</v>
      </c>
      <c r="B89" s="6">
        <f t="shared" si="15"/>
        <v>531.3584106707566</v>
      </c>
      <c r="C89" s="6">
        <f t="shared" si="16"/>
        <v>178.35</v>
      </c>
      <c r="D89" s="6">
        <f t="shared" si="17"/>
        <v>353.00841067075658</v>
      </c>
      <c r="E89" s="6">
        <f t="shared" si="18"/>
        <v>11861.026021034786</v>
      </c>
      <c r="F89" s="35">
        <f t="shared" si="19"/>
        <v>25</v>
      </c>
      <c r="G89" s="35">
        <v>0</v>
      </c>
      <c r="H89" s="6">
        <f t="shared" si="14"/>
        <v>556.3584106707566</v>
      </c>
      <c r="I89" s="36">
        <f t="shared" si="20"/>
        <v>47863</v>
      </c>
      <c r="J89" s="37" t="s">
        <v>107</v>
      </c>
    </row>
    <row r="90" spans="1:10" ht="15" customHeight="1" x14ac:dyDescent="0.25">
      <c r="A90" s="34">
        <v>74</v>
      </c>
      <c r="B90" s="6">
        <f t="shared" si="15"/>
        <v>531.3584106707566</v>
      </c>
      <c r="C90" s="6">
        <f t="shared" si="16"/>
        <v>173.19</v>
      </c>
      <c r="D90" s="6">
        <f t="shared" si="17"/>
        <v>358.1684106707566</v>
      </c>
      <c r="E90" s="6">
        <f t="shared" si="18"/>
        <v>11502.85761036403</v>
      </c>
      <c r="F90" s="35">
        <f t="shared" si="19"/>
        <v>25</v>
      </c>
      <c r="G90" s="35">
        <v>0</v>
      </c>
      <c r="H90" s="6">
        <f t="shared" si="14"/>
        <v>556.3584106707566</v>
      </c>
      <c r="I90" s="36">
        <f t="shared" si="20"/>
        <v>47894</v>
      </c>
      <c r="J90" s="37" t="s">
        <v>107</v>
      </c>
    </row>
    <row r="91" spans="1:10" ht="15" customHeight="1" x14ac:dyDescent="0.25">
      <c r="A91" s="34">
        <v>75</v>
      </c>
      <c r="B91" s="6">
        <f t="shared" si="15"/>
        <v>531.3584106707566</v>
      </c>
      <c r="C91" s="6">
        <f t="shared" si="16"/>
        <v>167.96</v>
      </c>
      <c r="D91" s="6">
        <f t="shared" si="17"/>
        <v>363.39841067075656</v>
      </c>
      <c r="E91" s="6">
        <f t="shared" si="18"/>
        <v>11139.459199693274</v>
      </c>
      <c r="F91" s="35">
        <f t="shared" si="19"/>
        <v>25</v>
      </c>
      <c r="G91" s="35">
        <v>0</v>
      </c>
      <c r="H91" s="6">
        <f t="shared" si="14"/>
        <v>556.3584106707566</v>
      </c>
      <c r="I91" s="36">
        <f t="shared" si="20"/>
        <v>47922</v>
      </c>
      <c r="J91" s="37" t="s">
        <v>107</v>
      </c>
    </row>
    <row r="92" spans="1:10" ht="15" customHeight="1" x14ac:dyDescent="0.25">
      <c r="A92" s="34">
        <v>76</v>
      </c>
      <c r="B92" s="6">
        <f t="shared" si="15"/>
        <v>531.3584106707566</v>
      </c>
      <c r="C92" s="6">
        <f t="shared" si="16"/>
        <v>162.65</v>
      </c>
      <c r="D92" s="6">
        <f t="shared" si="17"/>
        <v>368.70841067075662</v>
      </c>
      <c r="E92" s="6">
        <f t="shared" si="18"/>
        <v>10770.750789022517</v>
      </c>
      <c r="F92" s="35">
        <f t="shared" si="19"/>
        <v>25</v>
      </c>
      <c r="G92" s="35">
        <v>0</v>
      </c>
      <c r="H92" s="6">
        <f t="shared" si="14"/>
        <v>556.3584106707566</v>
      </c>
      <c r="I92" s="36">
        <f t="shared" si="20"/>
        <v>47953</v>
      </c>
      <c r="J92" s="37" t="s">
        <v>107</v>
      </c>
    </row>
    <row r="93" spans="1:10" ht="15" customHeight="1" x14ac:dyDescent="0.25">
      <c r="A93" s="34">
        <v>77</v>
      </c>
      <c r="B93" s="6">
        <f t="shared" si="15"/>
        <v>531.3584106707566</v>
      </c>
      <c r="C93" s="6">
        <f t="shared" si="16"/>
        <v>157.27000000000001</v>
      </c>
      <c r="D93" s="6">
        <f t="shared" si="17"/>
        <v>374.08841067075662</v>
      </c>
      <c r="E93" s="6">
        <f t="shared" si="18"/>
        <v>10396.662378351761</v>
      </c>
      <c r="F93" s="35">
        <f t="shared" si="19"/>
        <v>25</v>
      </c>
      <c r="G93" s="35">
        <v>0</v>
      </c>
      <c r="H93" s="6">
        <f t="shared" si="14"/>
        <v>556.3584106707566</v>
      </c>
      <c r="I93" s="36">
        <f t="shared" si="20"/>
        <v>47983</v>
      </c>
      <c r="J93" s="37" t="s">
        <v>107</v>
      </c>
    </row>
    <row r="94" spans="1:10" ht="15" customHeight="1" x14ac:dyDescent="0.25">
      <c r="A94" s="34">
        <v>78</v>
      </c>
      <c r="B94" s="6">
        <f t="shared" si="15"/>
        <v>531.3584106707566</v>
      </c>
      <c r="C94" s="6">
        <f t="shared" si="16"/>
        <v>151.81</v>
      </c>
      <c r="D94" s="6">
        <f t="shared" si="17"/>
        <v>379.5484106707566</v>
      </c>
      <c r="E94" s="6">
        <f t="shared" si="18"/>
        <v>10017.113967681003</v>
      </c>
      <c r="F94" s="35">
        <f t="shared" si="19"/>
        <v>25</v>
      </c>
      <c r="G94" s="35">
        <v>0</v>
      </c>
      <c r="H94" s="6">
        <f t="shared" si="14"/>
        <v>556.3584106707566</v>
      </c>
      <c r="I94" s="36">
        <f t="shared" si="20"/>
        <v>48014</v>
      </c>
      <c r="J94" s="37" t="s">
        <v>107</v>
      </c>
    </row>
    <row r="95" spans="1:10" ht="15" customHeight="1" x14ac:dyDescent="0.25">
      <c r="A95" s="34">
        <v>79</v>
      </c>
      <c r="B95" s="6">
        <f t="shared" si="15"/>
        <v>531.3584106707566</v>
      </c>
      <c r="C95" s="6">
        <f t="shared" si="16"/>
        <v>146.27000000000001</v>
      </c>
      <c r="D95" s="6">
        <f t="shared" si="17"/>
        <v>385.08841067075662</v>
      </c>
      <c r="E95" s="6">
        <f t="shared" si="18"/>
        <v>9632.0255570102472</v>
      </c>
      <c r="F95" s="35">
        <f t="shared" si="19"/>
        <v>25</v>
      </c>
      <c r="G95" s="35">
        <v>0</v>
      </c>
      <c r="H95" s="6">
        <f t="shared" si="14"/>
        <v>556.3584106707566</v>
      </c>
      <c r="I95" s="36">
        <f t="shared" si="20"/>
        <v>48044</v>
      </c>
      <c r="J95" s="37" t="s">
        <v>107</v>
      </c>
    </row>
    <row r="96" spans="1:10" ht="15" customHeight="1" x14ac:dyDescent="0.25">
      <c r="A96" s="34">
        <v>80</v>
      </c>
      <c r="B96" s="6">
        <f t="shared" si="15"/>
        <v>531.3584106707566</v>
      </c>
      <c r="C96" s="6">
        <f t="shared" si="16"/>
        <v>140.63999999999999</v>
      </c>
      <c r="D96" s="6">
        <f t="shared" si="17"/>
        <v>390.71841067075661</v>
      </c>
      <c r="E96" s="6">
        <f t="shared" si="18"/>
        <v>9241.3071463394899</v>
      </c>
      <c r="F96" s="35">
        <f t="shared" si="19"/>
        <v>25</v>
      </c>
      <c r="G96" s="35">
        <v>0</v>
      </c>
      <c r="H96" s="6">
        <f t="shared" si="14"/>
        <v>556.3584106707566</v>
      </c>
      <c r="I96" s="36">
        <f t="shared" si="20"/>
        <v>48075</v>
      </c>
      <c r="J96" s="37" t="s">
        <v>107</v>
      </c>
    </row>
    <row r="97" spans="1:10" ht="15" customHeight="1" x14ac:dyDescent="0.25">
      <c r="A97" s="34">
        <v>81</v>
      </c>
      <c r="B97" s="6">
        <f t="shared" si="15"/>
        <v>531.3584106707566</v>
      </c>
      <c r="C97" s="6">
        <f t="shared" si="16"/>
        <v>134.94</v>
      </c>
      <c r="D97" s="6">
        <f t="shared" si="17"/>
        <v>396.4184106707566</v>
      </c>
      <c r="E97" s="6">
        <f t="shared" si="18"/>
        <v>8844.8887356687337</v>
      </c>
      <c r="F97" s="35">
        <f t="shared" si="19"/>
        <v>25</v>
      </c>
      <c r="G97" s="35">
        <v>0</v>
      </c>
      <c r="H97" s="6">
        <f t="shared" si="14"/>
        <v>556.3584106707566</v>
      </c>
      <c r="I97" s="36">
        <f t="shared" si="20"/>
        <v>48106</v>
      </c>
      <c r="J97" s="37" t="s">
        <v>107</v>
      </c>
    </row>
    <row r="98" spans="1:10" ht="15" customHeight="1" x14ac:dyDescent="0.25">
      <c r="A98" s="34">
        <v>82</v>
      </c>
      <c r="B98" s="6">
        <f t="shared" si="15"/>
        <v>531.3584106707566</v>
      </c>
      <c r="C98" s="6">
        <f t="shared" si="16"/>
        <v>129.15</v>
      </c>
      <c r="D98" s="6">
        <f t="shared" si="17"/>
        <v>402.20841067075662</v>
      </c>
      <c r="E98" s="6">
        <f t="shared" si="18"/>
        <v>8442.6803249979766</v>
      </c>
      <c r="F98" s="35">
        <f t="shared" si="19"/>
        <v>25</v>
      </c>
      <c r="G98" s="35">
        <v>0</v>
      </c>
      <c r="H98" s="6">
        <f t="shared" si="14"/>
        <v>556.3584106707566</v>
      </c>
      <c r="I98" s="36">
        <f t="shared" si="20"/>
        <v>48136</v>
      </c>
      <c r="J98" s="37" t="s">
        <v>107</v>
      </c>
    </row>
    <row r="99" spans="1:10" ht="15" customHeight="1" x14ac:dyDescent="0.25">
      <c r="A99" s="34">
        <v>83</v>
      </c>
      <c r="B99" s="6">
        <f t="shared" si="15"/>
        <v>531.3584106707566</v>
      </c>
      <c r="C99" s="6">
        <f t="shared" si="16"/>
        <v>123.28</v>
      </c>
      <c r="D99" s="6">
        <f t="shared" si="17"/>
        <v>408.07841067075663</v>
      </c>
      <c r="E99" s="6">
        <f t="shared" si="18"/>
        <v>8034.6019143272197</v>
      </c>
      <c r="F99" s="35">
        <f t="shared" si="19"/>
        <v>25</v>
      </c>
      <c r="G99" s="35">
        <v>0</v>
      </c>
      <c r="H99" s="6">
        <f t="shared" si="14"/>
        <v>556.3584106707566</v>
      </c>
      <c r="I99" s="36">
        <f t="shared" si="20"/>
        <v>48167</v>
      </c>
      <c r="J99" s="37" t="s">
        <v>107</v>
      </c>
    </row>
    <row r="100" spans="1:10" ht="15" customHeight="1" x14ac:dyDescent="0.25">
      <c r="A100" s="34">
        <v>84</v>
      </c>
      <c r="B100" s="6">
        <f t="shared" si="15"/>
        <v>531.3584106707566</v>
      </c>
      <c r="C100" s="6">
        <f t="shared" si="16"/>
        <v>117.32</v>
      </c>
      <c r="D100" s="6">
        <f t="shared" si="17"/>
        <v>414.0384106707566</v>
      </c>
      <c r="E100" s="6">
        <f t="shared" si="18"/>
        <v>7620.5635036564627</v>
      </c>
      <c r="F100" s="35">
        <f t="shared" si="19"/>
        <v>25</v>
      </c>
      <c r="G100" s="35">
        <v>0</v>
      </c>
      <c r="H100" s="6">
        <f t="shared" si="14"/>
        <v>556.3584106707566</v>
      </c>
      <c r="I100" s="36">
        <f t="shared" si="20"/>
        <v>48197</v>
      </c>
      <c r="J100" s="37" t="s">
        <v>107</v>
      </c>
    </row>
    <row r="101" spans="1:10" ht="15" customHeight="1" x14ac:dyDescent="0.25">
      <c r="A101" s="34">
        <v>85</v>
      </c>
      <c r="B101" s="6">
        <f t="shared" si="15"/>
        <v>531.3584106707566</v>
      </c>
      <c r="C101" s="6">
        <f t="shared" si="16"/>
        <v>111.27</v>
      </c>
      <c r="D101" s="6">
        <f t="shared" si="17"/>
        <v>420.08841067075662</v>
      </c>
      <c r="E101" s="6">
        <f t="shared" si="18"/>
        <v>7200.4750929857064</v>
      </c>
      <c r="F101" s="35">
        <f t="shared" si="19"/>
        <v>25</v>
      </c>
      <c r="G101" s="35">
        <v>0</v>
      </c>
      <c r="H101" s="6">
        <f t="shared" si="14"/>
        <v>556.3584106707566</v>
      </c>
      <c r="I101" s="36">
        <f t="shared" si="20"/>
        <v>48228</v>
      </c>
      <c r="J101" s="37" t="s">
        <v>107</v>
      </c>
    </row>
    <row r="102" spans="1:10" ht="15" customHeight="1" x14ac:dyDescent="0.25">
      <c r="A102" s="34">
        <v>86</v>
      </c>
      <c r="B102" s="6">
        <f t="shared" si="15"/>
        <v>531.3584106707566</v>
      </c>
      <c r="C102" s="6">
        <f t="shared" si="16"/>
        <v>105.14</v>
      </c>
      <c r="D102" s="6">
        <f t="shared" si="17"/>
        <v>426.21841067075661</v>
      </c>
      <c r="E102" s="6">
        <f t="shared" si="18"/>
        <v>6774.25668231495</v>
      </c>
      <c r="F102" s="35">
        <f t="shared" si="19"/>
        <v>25</v>
      </c>
      <c r="G102" s="35">
        <v>0</v>
      </c>
      <c r="H102" s="6">
        <f t="shared" si="14"/>
        <v>556.3584106707566</v>
      </c>
      <c r="I102" s="36">
        <f t="shared" si="20"/>
        <v>48259</v>
      </c>
      <c r="J102" s="37" t="s">
        <v>107</v>
      </c>
    </row>
    <row r="103" spans="1:10" ht="15" customHeight="1" x14ac:dyDescent="0.25">
      <c r="A103" s="34">
        <v>87</v>
      </c>
      <c r="B103" s="6">
        <f t="shared" si="15"/>
        <v>531.3584106707566</v>
      </c>
      <c r="C103" s="6">
        <f t="shared" si="16"/>
        <v>98.92</v>
      </c>
      <c r="D103" s="6">
        <f t="shared" si="17"/>
        <v>432.43841067075658</v>
      </c>
      <c r="E103" s="6">
        <f t="shared" si="18"/>
        <v>6341.8182716441934</v>
      </c>
      <c r="F103" s="35">
        <f t="shared" si="19"/>
        <v>25</v>
      </c>
      <c r="G103" s="35">
        <v>0</v>
      </c>
      <c r="H103" s="6">
        <f t="shared" si="14"/>
        <v>556.3584106707566</v>
      </c>
      <c r="I103" s="36">
        <f t="shared" si="20"/>
        <v>48288</v>
      </c>
      <c r="J103" s="37" t="s">
        <v>107</v>
      </c>
    </row>
    <row r="104" spans="1:10" ht="15" customHeight="1" x14ac:dyDescent="0.25">
      <c r="A104" s="34">
        <v>88</v>
      </c>
      <c r="B104" s="6">
        <f t="shared" si="15"/>
        <v>531.3584106707566</v>
      </c>
      <c r="C104" s="6">
        <f t="shared" si="16"/>
        <v>92.6</v>
      </c>
      <c r="D104" s="6">
        <f t="shared" si="17"/>
        <v>438.75841067075658</v>
      </c>
      <c r="E104" s="6">
        <f t="shared" si="18"/>
        <v>5903.059860973437</v>
      </c>
      <c r="F104" s="35">
        <f t="shared" si="19"/>
        <v>25</v>
      </c>
      <c r="G104" s="35">
        <v>0</v>
      </c>
      <c r="H104" s="6">
        <f t="shared" si="14"/>
        <v>556.3584106707566</v>
      </c>
      <c r="I104" s="36">
        <f t="shared" si="20"/>
        <v>48319</v>
      </c>
      <c r="J104" s="37" t="s">
        <v>107</v>
      </c>
    </row>
    <row r="105" spans="1:10" ht="15" customHeight="1" x14ac:dyDescent="0.25">
      <c r="A105" s="34">
        <v>89</v>
      </c>
      <c r="B105" s="6">
        <f t="shared" si="15"/>
        <v>531.3584106707566</v>
      </c>
      <c r="C105" s="6">
        <f t="shared" si="16"/>
        <v>86.19</v>
      </c>
      <c r="D105" s="6">
        <f t="shared" si="17"/>
        <v>445.1684106707566</v>
      </c>
      <c r="E105" s="6">
        <f t="shared" si="18"/>
        <v>5457.8914503026808</v>
      </c>
      <c r="F105" s="35">
        <f t="shared" si="19"/>
        <v>25</v>
      </c>
      <c r="G105" s="35">
        <v>0</v>
      </c>
      <c r="H105" s="6">
        <f t="shared" si="14"/>
        <v>556.3584106707566</v>
      </c>
      <c r="I105" s="36">
        <f t="shared" si="20"/>
        <v>48349</v>
      </c>
      <c r="J105" s="37" t="s">
        <v>107</v>
      </c>
    </row>
    <row r="106" spans="1:10" ht="15" customHeight="1" x14ac:dyDescent="0.25">
      <c r="A106" s="34">
        <v>90</v>
      </c>
      <c r="B106" s="6">
        <f t="shared" si="15"/>
        <v>531.3584106707566</v>
      </c>
      <c r="C106" s="6">
        <f t="shared" si="16"/>
        <v>79.69</v>
      </c>
      <c r="D106" s="6">
        <f t="shared" si="17"/>
        <v>451.6684106707566</v>
      </c>
      <c r="E106" s="6">
        <f t="shared" si="18"/>
        <v>5006.2230396319246</v>
      </c>
      <c r="F106" s="35">
        <f t="shared" si="19"/>
        <v>25</v>
      </c>
      <c r="G106" s="35">
        <v>0</v>
      </c>
      <c r="H106" s="6">
        <f t="shared" si="14"/>
        <v>556.3584106707566</v>
      </c>
      <c r="I106" s="36">
        <f t="shared" si="20"/>
        <v>48380</v>
      </c>
      <c r="J106" s="37" t="s">
        <v>107</v>
      </c>
    </row>
    <row r="107" spans="1:10" ht="15" customHeight="1" x14ac:dyDescent="0.25">
      <c r="A107" s="34">
        <v>91</v>
      </c>
      <c r="B107" s="6">
        <f t="shared" si="15"/>
        <v>531.3584106707566</v>
      </c>
      <c r="C107" s="6">
        <f t="shared" si="16"/>
        <v>73.099999999999994</v>
      </c>
      <c r="D107" s="6">
        <f t="shared" si="17"/>
        <v>458.25841067075658</v>
      </c>
      <c r="E107" s="6">
        <f t="shared" si="18"/>
        <v>4547.9646289611683</v>
      </c>
      <c r="F107" s="35">
        <f t="shared" si="19"/>
        <v>25</v>
      </c>
      <c r="G107" s="35">
        <v>0</v>
      </c>
      <c r="H107" s="6">
        <f t="shared" si="14"/>
        <v>556.3584106707566</v>
      </c>
      <c r="I107" s="36">
        <f t="shared" si="20"/>
        <v>48410</v>
      </c>
      <c r="J107" s="37" t="s">
        <v>107</v>
      </c>
    </row>
    <row r="108" spans="1:10" ht="15" customHeight="1" x14ac:dyDescent="0.25">
      <c r="A108" s="34">
        <v>92</v>
      </c>
      <c r="B108" s="6">
        <f t="shared" si="15"/>
        <v>531.3584106707566</v>
      </c>
      <c r="C108" s="6">
        <f t="shared" si="16"/>
        <v>66.41</v>
      </c>
      <c r="D108" s="6">
        <f t="shared" si="17"/>
        <v>464.94841067075663</v>
      </c>
      <c r="E108" s="6">
        <f t="shared" si="18"/>
        <v>4083.0162182904114</v>
      </c>
      <c r="F108" s="35">
        <f t="shared" si="19"/>
        <v>25</v>
      </c>
      <c r="G108" s="35">
        <v>0</v>
      </c>
      <c r="H108" s="6">
        <f t="shared" si="14"/>
        <v>556.3584106707566</v>
      </c>
      <c r="I108" s="36">
        <f t="shared" si="20"/>
        <v>48441</v>
      </c>
      <c r="J108" s="37" t="s">
        <v>107</v>
      </c>
    </row>
    <row r="109" spans="1:10" ht="15" customHeight="1" x14ac:dyDescent="0.25">
      <c r="A109" s="34">
        <v>93</v>
      </c>
      <c r="B109" s="6">
        <f t="shared" si="15"/>
        <v>531.3584106707566</v>
      </c>
      <c r="C109" s="6">
        <f t="shared" si="16"/>
        <v>59.62</v>
      </c>
      <c r="D109" s="6">
        <f t="shared" si="17"/>
        <v>471.73841067075659</v>
      </c>
      <c r="E109" s="6">
        <f t="shared" si="18"/>
        <v>3611.2778076196546</v>
      </c>
      <c r="F109" s="35">
        <f t="shared" si="19"/>
        <v>25</v>
      </c>
      <c r="G109" s="35">
        <v>0</v>
      </c>
      <c r="H109" s="6">
        <f t="shared" si="14"/>
        <v>556.3584106707566</v>
      </c>
      <c r="I109" s="36">
        <f t="shared" si="20"/>
        <v>48472</v>
      </c>
      <c r="J109" s="37" t="s">
        <v>107</v>
      </c>
    </row>
    <row r="110" spans="1:10" ht="15" customHeight="1" x14ac:dyDescent="0.25">
      <c r="A110" s="34">
        <v>94</v>
      </c>
      <c r="B110" s="6">
        <f t="shared" si="15"/>
        <v>531.3584106707566</v>
      </c>
      <c r="C110" s="6">
        <f t="shared" si="16"/>
        <v>52.73</v>
      </c>
      <c r="D110" s="6">
        <f t="shared" si="17"/>
        <v>478.62841067075658</v>
      </c>
      <c r="E110" s="6">
        <f t="shared" si="18"/>
        <v>3132.6493969488979</v>
      </c>
      <c r="F110" s="35">
        <f t="shared" si="19"/>
        <v>25</v>
      </c>
      <c r="G110" s="35">
        <v>0</v>
      </c>
      <c r="H110" s="6">
        <f t="shared" si="14"/>
        <v>556.3584106707566</v>
      </c>
      <c r="I110" s="36">
        <f t="shared" si="20"/>
        <v>48502</v>
      </c>
      <c r="J110" s="37" t="s">
        <v>107</v>
      </c>
    </row>
    <row r="111" spans="1:10" ht="15" customHeight="1" x14ac:dyDescent="0.25">
      <c r="A111" s="34">
        <v>95</v>
      </c>
      <c r="B111" s="6">
        <f t="shared" si="15"/>
        <v>531.3584106707566</v>
      </c>
      <c r="C111" s="6">
        <f t="shared" si="16"/>
        <v>45.74</v>
      </c>
      <c r="D111" s="6">
        <f t="shared" si="17"/>
        <v>485.61841067075659</v>
      </c>
      <c r="E111" s="6">
        <f t="shared" si="18"/>
        <v>2647.0309862781414</v>
      </c>
      <c r="F111" s="35">
        <f t="shared" si="19"/>
        <v>25</v>
      </c>
      <c r="G111" s="35">
        <v>0</v>
      </c>
      <c r="H111" s="6">
        <f t="shared" si="14"/>
        <v>556.3584106707566</v>
      </c>
      <c r="I111" s="36">
        <f t="shared" si="20"/>
        <v>48533</v>
      </c>
      <c r="J111" s="37" t="s">
        <v>107</v>
      </c>
    </row>
    <row r="112" spans="1:10" ht="15" customHeight="1" x14ac:dyDescent="0.25">
      <c r="A112" s="34">
        <v>96</v>
      </c>
      <c r="B112" s="6">
        <f t="shared" si="15"/>
        <v>531.3584106707566</v>
      </c>
      <c r="C112" s="6">
        <f t="shared" si="16"/>
        <v>38.65</v>
      </c>
      <c r="D112" s="6">
        <f t="shared" si="17"/>
        <v>492.70841067075662</v>
      </c>
      <c r="E112" s="6">
        <f t="shared" si="18"/>
        <v>2154.3225756073848</v>
      </c>
      <c r="F112" s="35">
        <f t="shared" si="19"/>
        <v>25</v>
      </c>
      <c r="G112" s="35">
        <v>0</v>
      </c>
      <c r="H112" s="6">
        <f t="shared" si="14"/>
        <v>556.3584106707566</v>
      </c>
      <c r="I112" s="36">
        <f t="shared" si="20"/>
        <v>48563</v>
      </c>
      <c r="J112" s="37" t="s">
        <v>107</v>
      </c>
    </row>
    <row r="113" spans="1:10" ht="15" customHeight="1" x14ac:dyDescent="0.25">
      <c r="A113" s="34">
        <v>97</v>
      </c>
      <c r="B113" s="6">
        <f t="shared" si="15"/>
        <v>531.3584106707566</v>
      </c>
      <c r="C113" s="6">
        <f t="shared" si="16"/>
        <v>31.46</v>
      </c>
      <c r="D113" s="6">
        <f t="shared" si="17"/>
        <v>499.89841067075662</v>
      </c>
      <c r="E113" s="6">
        <f t="shared" si="18"/>
        <v>1654.4241649366281</v>
      </c>
      <c r="F113" s="35">
        <f t="shared" si="19"/>
        <v>25</v>
      </c>
      <c r="G113" s="35">
        <v>0</v>
      </c>
      <c r="H113" s="6">
        <f t="shared" ref="H113:H144" si="21">IF(B113&gt;0,B113+F113,0)</f>
        <v>556.3584106707566</v>
      </c>
      <c r="I113" s="36">
        <f t="shared" si="20"/>
        <v>48594</v>
      </c>
      <c r="J113" s="37" t="s">
        <v>107</v>
      </c>
    </row>
    <row r="114" spans="1:10" ht="15" customHeight="1" x14ac:dyDescent="0.25">
      <c r="A114" s="34">
        <v>98</v>
      </c>
      <c r="B114" s="6">
        <f t="shared" ref="B114:B145" si="22">IF(E113&gt;0,MIN($E$5+G114+$H$11,E113+C114),0)</f>
        <v>531.3584106707566</v>
      </c>
      <c r="C114" s="6">
        <f t="shared" ref="C114:C145" si="23">IF(E113&gt;0,ROUND(E113*$E$4,2),0)</f>
        <v>24.16</v>
      </c>
      <c r="D114" s="6">
        <f t="shared" ref="D114:D145" si="24">IF(E113&gt;0,B114-C114,0)</f>
        <v>507.19841067075657</v>
      </c>
      <c r="E114" s="6">
        <f t="shared" ref="E114:E145" si="25">IF(E113&gt;0,MAX(E113-D114,0),0)</f>
        <v>1147.2257542658715</v>
      </c>
      <c r="F114" s="35">
        <f t="shared" ref="F114:F145" si="26">IF(E113&gt;0,$H$5,0)</f>
        <v>25</v>
      </c>
      <c r="G114" s="35">
        <v>0</v>
      </c>
      <c r="H114" s="6">
        <f t="shared" si="21"/>
        <v>556.3584106707566</v>
      </c>
      <c r="I114" s="36">
        <f t="shared" ref="I114:I145" si="27">IF(E114&gt;0,EDATE($B$8,A114-1),"")</f>
        <v>48625</v>
      </c>
      <c r="J114" s="37" t="s">
        <v>107</v>
      </c>
    </row>
    <row r="115" spans="1:10" ht="15" customHeight="1" x14ac:dyDescent="0.25">
      <c r="A115" s="34">
        <v>99</v>
      </c>
      <c r="B115" s="6">
        <f t="shared" si="22"/>
        <v>531.3584106707566</v>
      </c>
      <c r="C115" s="6">
        <f t="shared" si="23"/>
        <v>16.75</v>
      </c>
      <c r="D115" s="6">
        <f t="shared" si="24"/>
        <v>514.6084106707566</v>
      </c>
      <c r="E115" s="6">
        <f t="shared" si="25"/>
        <v>632.6173435951149</v>
      </c>
      <c r="F115" s="35">
        <f t="shared" si="26"/>
        <v>25</v>
      </c>
      <c r="G115" s="35">
        <v>0</v>
      </c>
      <c r="H115" s="6">
        <f t="shared" si="21"/>
        <v>556.3584106707566</v>
      </c>
      <c r="I115" s="36">
        <f t="shared" si="27"/>
        <v>48653</v>
      </c>
      <c r="J115" s="37" t="s">
        <v>107</v>
      </c>
    </row>
    <row r="116" spans="1:10" ht="15" customHeight="1" x14ac:dyDescent="0.25">
      <c r="A116" s="34">
        <v>100</v>
      </c>
      <c r="B116" s="6">
        <f t="shared" si="22"/>
        <v>531.3584106707566</v>
      </c>
      <c r="C116" s="6">
        <f t="shared" si="23"/>
        <v>9.24</v>
      </c>
      <c r="D116" s="6">
        <f t="shared" si="24"/>
        <v>522.11841067075659</v>
      </c>
      <c r="E116" s="6">
        <f t="shared" si="25"/>
        <v>110.49893292435831</v>
      </c>
      <c r="F116" s="35">
        <f t="shared" si="26"/>
        <v>25</v>
      </c>
      <c r="G116" s="35">
        <v>0</v>
      </c>
      <c r="H116" s="6">
        <f t="shared" si="21"/>
        <v>556.3584106707566</v>
      </c>
      <c r="I116" s="36">
        <f t="shared" si="27"/>
        <v>48684</v>
      </c>
      <c r="J116" s="37" t="s">
        <v>107</v>
      </c>
    </row>
    <row r="117" spans="1:10" ht="15" customHeight="1" x14ac:dyDescent="0.25">
      <c r="A117" s="34">
        <v>101</v>
      </c>
      <c r="B117" s="6">
        <f t="shared" si="22"/>
        <v>112.10893292435831</v>
      </c>
      <c r="C117" s="6">
        <f t="shared" si="23"/>
        <v>1.61</v>
      </c>
      <c r="D117" s="6">
        <f t="shared" si="24"/>
        <v>110.49893292435831</v>
      </c>
      <c r="E117" s="6">
        <f t="shared" si="25"/>
        <v>0</v>
      </c>
      <c r="F117" s="35">
        <f t="shared" si="26"/>
        <v>25</v>
      </c>
      <c r="G117" s="35">
        <v>0</v>
      </c>
      <c r="H117" s="6">
        <f t="shared" si="21"/>
        <v>137.10893292435833</v>
      </c>
      <c r="I117" s="36" t="str">
        <f t="shared" si="27"/>
        <v/>
      </c>
      <c r="J117" s="37" t="s">
        <v>107</v>
      </c>
    </row>
    <row r="118" spans="1:10" ht="15" customHeight="1" x14ac:dyDescent="0.25">
      <c r="A118" s="34">
        <v>102</v>
      </c>
      <c r="B118" s="6">
        <f t="shared" si="22"/>
        <v>0</v>
      </c>
      <c r="C118" s="6">
        <f t="shared" si="23"/>
        <v>0</v>
      </c>
      <c r="D118" s="6">
        <f t="shared" si="24"/>
        <v>0</v>
      </c>
      <c r="E118" s="6">
        <f t="shared" si="25"/>
        <v>0</v>
      </c>
      <c r="F118" s="35">
        <f t="shared" si="26"/>
        <v>0</v>
      </c>
      <c r="G118" s="35">
        <v>0</v>
      </c>
      <c r="H118" s="6">
        <f t="shared" si="21"/>
        <v>0</v>
      </c>
      <c r="I118" s="36" t="str">
        <f t="shared" si="27"/>
        <v/>
      </c>
      <c r="J118" s="37" t="s">
        <v>107</v>
      </c>
    </row>
    <row r="119" spans="1:10" ht="15" customHeight="1" x14ac:dyDescent="0.25">
      <c r="A119" s="34">
        <v>103</v>
      </c>
      <c r="B119" s="6">
        <f t="shared" si="22"/>
        <v>0</v>
      </c>
      <c r="C119" s="6">
        <f t="shared" si="23"/>
        <v>0</v>
      </c>
      <c r="D119" s="6">
        <f t="shared" si="24"/>
        <v>0</v>
      </c>
      <c r="E119" s="6">
        <f t="shared" si="25"/>
        <v>0</v>
      </c>
      <c r="F119" s="35">
        <f t="shared" si="26"/>
        <v>0</v>
      </c>
      <c r="G119" s="35">
        <v>0</v>
      </c>
      <c r="H119" s="6">
        <f t="shared" si="21"/>
        <v>0</v>
      </c>
      <c r="I119" s="36" t="str">
        <f t="shared" si="27"/>
        <v/>
      </c>
      <c r="J119" s="37" t="s">
        <v>107</v>
      </c>
    </row>
    <row r="120" spans="1:10" ht="15" customHeight="1" x14ac:dyDescent="0.25">
      <c r="A120" s="34">
        <v>104</v>
      </c>
      <c r="B120" s="6">
        <f t="shared" si="22"/>
        <v>0</v>
      </c>
      <c r="C120" s="6">
        <f t="shared" si="23"/>
        <v>0</v>
      </c>
      <c r="D120" s="6">
        <f t="shared" si="24"/>
        <v>0</v>
      </c>
      <c r="E120" s="6">
        <f t="shared" si="25"/>
        <v>0</v>
      </c>
      <c r="F120" s="35">
        <f t="shared" si="26"/>
        <v>0</v>
      </c>
      <c r="G120" s="35">
        <v>0</v>
      </c>
      <c r="H120" s="6">
        <f t="shared" si="21"/>
        <v>0</v>
      </c>
      <c r="I120" s="36" t="str">
        <f t="shared" si="27"/>
        <v/>
      </c>
      <c r="J120" s="37" t="s">
        <v>107</v>
      </c>
    </row>
    <row r="121" spans="1:10" ht="15" customHeight="1" x14ac:dyDescent="0.25">
      <c r="A121" s="34">
        <v>105</v>
      </c>
      <c r="B121" s="6">
        <f t="shared" si="22"/>
        <v>0</v>
      </c>
      <c r="C121" s="6">
        <f t="shared" si="23"/>
        <v>0</v>
      </c>
      <c r="D121" s="6">
        <f t="shared" si="24"/>
        <v>0</v>
      </c>
      <c r="E121" s="6">
        <f t="shared" si="25"/>
        <v>0</v>
      </c>
      <c r="F121" s="35">
        <f t="shared" si="26"/>
        <v>0</v>
      </c>
      <c r="G121" s="35">
        <v>0</v>
      </c>
      <c r="H121" s="6">
        <f t="shared" si="21"/>
        <v>0</v>
      </c>
      <c r="I121" s="36" t="str">
        <f t="shared" si="27"/>
        <v/>
      </c>
      <c r="J121" s="37" t="s">
        <v>107</v>
      </c>
    </row>
    <row r="122" spans="1:10" ht="15" customHeight="1" x14ac:dyDescent="0.25">
      <c r="A122" s="34">
        <v>106</v>
      </c>
      <c r="B122" s="6">
        <f t="shared" si="22"/>
        <v>0</v>
      </c>
      <c r="C122" s="6">
        <f t="shared" si="23"/>
        <v>0</v>
      </c>
      <c r="D122" s="6">
        <f t="shared" si="24"/>
        <v>0</v>
      </c>
      <c r="E122" s="6">
        <f t="shared" si="25"/>
        <v>0</v>
      </c>
      <c r="F122" s="35">
        <f t="shared" si="26"/>
        <v>0</v>
      </c>
      <c r="G122" s="35">
        <v>0</v>
      </c>
      <c r="H122" s="6">
        <f t="shared" si="21"/>
        <v>0</v>
      </c>
      <c r="I122" s="36" t="str">
        <f t="shared" si="27"/>
        <v/>
      </c>
      <c r="J122" s="37" t="s">
        <v>107</v>
      </c>
    </row>
    <row r="123" spans="1:10" ht="15" customHeight="1" x14ac:dyDescent="0.25">
      <c r="A123" s="34">
        <v>107</v>
      </c>
      <c r="B123" s="6">
        <f t="shared" si="22"/>
        <v>0</v>
      </c>
      <c r="C123" s="6">
        <f t="shared" si="23"/>
        <v>0</v>
      </c>
      <c r="D123" s="6">
        <f t="shared" si="24"/>
        <v>0</v>
      </c>
      <c r="E123" s="6">
        <f t="shared" si="25"/>
        <v>0</v>
      </c>
      <c r="F123" s="35">
        <f t="shared" si="26"/>
        <v>0</v>
      </c>
      <c r="G123" s="35">
        <v>0</v>
      </c>
      <c r="H123" s="6">
        <f t="shared" si="21"/>
        <v>0</v>
      </c>
      <c r="I123" s="36" t="str">
        <f t="shared" si="27"/>
        <v/>
      </c>
      <c r="J123" s="37" t="s">
        <v>107</v>
      </c>
    </row>
    <row r="124" spans="1:10" ht="15" customHeight="1" x14ac:dyDescent="0.25">
      <c r="A124" s="34">
        <v>108</v>
      </c>
      <c r="B124" s="6">
        <f t="shared" si="22"/>
        <v>0</v>
      </c>
      <c r="C124" s="6">
        <f t="shared" si="23"/>
        <v>0</v>
      </c>
      <c r="D124" s="6">
        <f t="shared" si="24"/>
        <v>0</v>
      </c>
      <c r="E124" s="6">
        <f t="shared" si="25"/>
        <v>0</v>
      </c>
      <c r="F124" s="35">
        <f t="shared" si="26"/>
        <v>0</v>
      </c>
      <c r="G124" s="35">
        <v>0</v>
      </c>
      <c r="H124" s="6">
        <f t="shared" si="21"/>
        <v>0</v>
      </c>
      <c r="I124" s="36" t="str">
        <f t="shared" si="27"/>
        <v/>
      </c>
      <c r="J124" s="37" t="s">
        <v>107</v>
      </c>
    </row>
    <row r="125" spans="1:10" ht="15" customHeight="1" x14ac:dyDescent="0.25">
      <c r="A125" s="34">
        <v>109</v>
      </c>
      <c r="B125" s="6">
        <f t="shared" si="22"/>
        <v>0</v>
      </c>
      <c r="C125" s="6">
        <f t="shared" si="23"/>
        <v>0</v>
      </c>
      <c r="D125" s="6">
        <f t="shared" si="24"/>
        <v>0</v>
      </c>
      <c r="E125" s="6">
        <f t="shared" si="25"/>
        <v>0</v>
      </c>
      <c r="F125" s="35">
        <f t="shared" si="26"/>
        <v>0</v>
      </c>
      <c r="G125" s="35">
        <v>0</v>
      </c>
      <c r="H125" s="6">
        <f t="shared" si="21"/>
        <v>0</v>
      </c>
      <c r="I125" s="36" t="str">
        <f t="shared" si="27"/>
        <v/>
      </c>
      <c r="J125" s="37" t="s">
        <v>107</v>
      </c>
    </row>
    <row r="126" spans="1:10" ht="15" customHeight="1" x14ac:dyDescent="0.25">
      <c r="A126" s="34">
        <v>110</v>
      </c>
      <c r="B126" s="6">
        <f t="shared" si="22"/>
        <v>0</v>
      </c>
      <c r="C126" s="6">
        <f t="shared" si="23"/>
        <v>0</v>
      </c>
      <c r="D126" s="6">
        <f t="shared" si="24"/>
        <v>0</v>
      </c>
      <c r="E126" s="6">
        <f t="shared" si="25"/>
        <v>0</v>
      </c>
      <c r="F126" s="35">
        <f t="shared" si="26"/>
        <v>0</v>
      </c>
      <c r="G126" s="35">
        <v>0</v>
      </c>
      <c r="H126" s="6">
        <f t="shared" si="21"/>
        <v>0</v>
      </c>
      <c r="I126" s="36" t="str">
        <f t="shared" si="27"/>
        <v/>
      </c>
      <c r="J126" s="37" t="s">
        <v>107</v>
      </c>
    </row>
    <row r="127" spans="1:10" ht="15" customHeight="1" x14ac:dyDescent="0.25">
      <c r="A127" s="34">
        <v>111</v>
      </c>
      <c r="B127" s="6">
        <f t="shared" si="22"/>
        <v>0</v>
      </c>
      <c r="C127" s="6">
        <f t="shared" si="23"/>
        <v>0</v>
      </c>
      <c r="D127" s="6">
        <f t="shared" si="24"/>
        <v>0</v>
      </c>
      <c r="E127" s="6">
        <f t="shared" si="25"/>
        <v>0</v>
      </c>
      <c r="F127" s="35">
        <f t="shared" si="26"/>
        <v>0</v>
      </c>
      <c r="G127" s="35">
        <v>0</v>
      </c>
      <c r="H127" s="6">
        <f t="shared" si="21"/>
        <v>0</v>
      </c>
      <c r="I127" s="36" t="str">
        <f t="shared" si="27"/>
        <v/>
      </c>
      <c r="J127" s="37" t="s">
        <v>107</v>
      </c>
    </row>
    <row r="128" spans="1:10" ht="15" customHeight="1" x14ac:dyDescent="0.25">
      <c r="A128" s="34">
        <v>112</v>
      </c>
      <c r="B128" s="6">
        <f t="shared" si="22"/>
        <v>0</v>
      </c>
      <c r="C128" s="6">
        <f t="shared" si="23"/>
        <v>0</v>
      </c>
      <c r="D128" s="6">
        <f t="shared" si="24"/>
        <v>0</v>
      </c>
      <c r="E128" s="6">
        <f t="shared" si="25"/>
        <v>0</v>
      </c>
      <c r="F128" s="35">
        <f t="shared" si="26"/>
        <v>0</v>
      </c>
      <c r="G128" s="35">
        <v>0</v>
      </c>
      <c r="H128" s="6">
        <f t="shared" si="21"/>
        <v>0</v>
      </c>
      <c r="I128" s="36" t="str">
        <f t="shared" si="27"/>
        <v/>
      </c>
      <c r="J128" s="37" t="s">
        <v>107</v>
      </c>
    </row>
    <row r="129" spans="1:10" ht="15" customHeight="1" x14ac:dyDescent="0.25">
      <c r="A129" s="34">
        <v>113</v>
      </c>
      <c r="B129" s="6">
        <f t="shared" si="22"/>
        <v>0</v>
      </c>
      <c r="C129" s="6">
        <f t="shared" si="23"/>
        <v>0</v>
      </c>
      <c r="D129" s="6">
        <f t="shared" si="24"/>
        <v>0</v>
      </c>
      <c r="E129" s="6">
        <f t="shared" si="25"/>
        <v>0</v>
      </c>
      <c r="F129" s="35">
        <f t="shared" si="26"/>
        <v>0</v>
      </c>
      <c r="G129" s="35">
        <v>0</v>
      </c>
      <c r="H129" s="6">
        <f t="shared" si="21"/>
        <v>0</v>
      </c>
      <c r="I129" s="36" t="str">
        <f t="shared" si="27"/>
        <v/>
      </c>
      <c r="J129" s="37" t="s">
        <v>107</v>
      </c>
    </row>
    <row r="130" spans="1:10" ht="15" customHeight="1" x14ac:dyDescent="0.25">
      <c r="A130" s="34">
        <v>114</v>
      </c>
      <c r="B130" s="6">
        <f t="shared" si="22"/>
        <v>0</v>
      </c>
      <c r="C130" s="6">
        <f t="shared" si="23"/>
        <v>0</v>
      </c>
      <c r="D130" s="6">
        <f t="shared" si="24"/>
        <v>0</v>
      </c>
      <c r="E130" s="6">
        <f t="shared" si="25"/>
        <v>0</v>
      </c>
      <c r="F130" s="35">
        <f t="shared" si="26"/>
        <v>0</v>
      </c>
      <c r="G130" s="35">
        <v>0</v>
      </c>
      <c r="H130" s="6">
        <f t="shared" si="21"/>
        <v>0</v>
      </c>
      <c r="I130" s="36" t="str">
        <f t="shared" si="27"/>
        <v/>
      </c>
      <c r="J130" s="37" t="s">
        <v>107</v>
      </c>
    </row>
    <row r="131" spans="1:10" ht="15" customHeight="1" x14ac:dyDescent="0.25">
      <c r="A131" s="34">
        <v>115</v>
      </c>
      <c r="B131" s="6">
        <f t="shared" si="22"/>
        <v>0</v>
      </c>
      <c r="C131" s="6">
        <f t="shared" si="23"/>
        <v>0</v>
      </c>
      <c r="D131" s="6">
        <f t="shared" si="24"/>
        <v>0</v>
      </c>
      <c r="E131" s="6">
        <f t="shared" si="25"/>
        <v>0</v>
      </c>
      <c r="F131" s="35">
        <f t="shared" si="26"/>
        <v>0</v>
      </c>
      <c r="G131" s="35">
        <v>0</v>
      </c>
      <c r="H131" s="6">
        <f t="shared" si="21"/>
        <v>0</v>
      </c>
      <c r="I131" s="36" t="str">
        <f t="shared" si="27"/>
        <v/>
      </c>
      <c r="J131" s="37" t="s">
        <v>107</v>
      </c>
    </row>
    <row r="132" spans="1:10" ht="15" customHeight="1" x14ac:dyDescent="0.25">
      <c r="A132" s="34">
        <v>116</v>
      </c>
      <c r="B132" s="6">
        <f t="shared" si="22"/>
        <v>0</v>
      </c>
      <c r="C132" s="6">
        <f t="shared" si="23"/>
        <v>0</v>
      </c>
      <c r="D132" s="6">
        <f t="shared" si="24"/>
        <v>0</v>
      </c>
      <c r="E132" s="6">
        <f t="shared" si="25"/>
        <v>0</v>
      </c>
      <c r="F132" s="35">
        <f t="shared" si="26"/>
        <v>0</v>
      </c>
      <c r="G132" s="35">
        <v>0</v>
      </c>
      <c r="H132" s="6">
        <f t="shared" si="21"/>
        <v>0</v>
      </c>
      <c r="I132" s="36" t="str">
        <f t="shared" si="27"/>
        <v/>
      </c>
      <c r="J132" s="37" t="s">
        <v>107</v>
      </c>
    </row>
    <row r="133" spans="1:10" ht="15" customHeight="1" x14ac:dyDescent="0.25">
      <c r="A133" s="34">
        <v>117</v>
      </c>
      <c r="B133" s="6">
        <f t="shared" si="22"/>
        <v>0</v>
      </c>
      <c r="C133" s="6">
        <f t="shared" si="23"/>
        <v>0</v>
      </c>
      <c r="D133" s="6">
        <f t="shared" si="24"/>
        <v>0</v>
      </c>
      <c r="E133" s="6">
        <f t="shared" si="25"/>
        <v>0</v>
      </c>
      <c r="F133" s="35">
        <f t="shared" si="26"/>
        <v>0</v>
      </c>
      <c r="G133" s="35">
        <v>0</v>
      </c>
      <c r="H133" s="6">
        <f t="shared" si="21"/>
        <v>0</v>
      </c>
      <c r="I133" s="36" t="str">
        <f t="shared" si="27"/>
        <v/>
      </c>
      <c r="J133" s="37" t="s">
        <v>107</v>
      </c>
    </row>
    <row r="134" spans="1:10" ht="15" customHeight="1" x14ac:dyDescent="0.25">
      <c r="A134" s="34">
        <v>118</v>
      </c>
      <c r="B134" s="6">
        <f t="shared" si="22"/>
        <v>0</v>
      </c>
      <c r="C134" s="6">
        <f t="shared" si="23"/>
        <v>0</v>
      </c>
      <c r="D134" s="6">
        <f t="shared" si="24"/>
        <v>0</v>
      </c>
      <c r="E134" s="6">
        <f t="shared" si="25"/>
        <v>0</v>
      </c>
      <c r="F134" s="35">
        <f t="shared" si="26"/>
        <v>0</v>
      </c>
      <c r="G134" s="35">
        <v>0</v>
      </c>
      <c r="H134" s="6">
        <f t="shared" si="21"/>
        <v>0</v>
      </c>
      <c r="I134" s="36" t="str">
        <f t="shared" si="27"/>
        <v/>
      </c>
      <c r="J134" s="37" t="s">
        <v>107</v>
      </c>
    </row>
    <row r="135" spans="1:10" ht="15" customHeight="1" x14ac:dyDescent="0.25">
      <c r="A135" s="34">
        <v>119</v>
      </c>
      <c r="B135" s="6">
        <f t="shared" si="22"/>
        <v>0</v>
      </c>
      <c r="C135" s="6">
        <f t="shared" si="23"/>
        <v>0</v>
      </c>
      <c r="D135" s="6">
        <f t="shared" si="24"/>
        <v>0</v>
      </c>
      <c r="E135" s="6">
        <f t="shared" si="25"/>
        <v>0</v>
      </c>
      <c r="F135" s="35">
        <f t="shared" si="26"/>
        <v>0</v>
      </c>
      <c r="G135" s="35">
        <v>0</v>
      </c>
      <c r="H135" s="6">
        <f t="shared" si="21"/>
        <v>0</v>
      </c>
      <c r="I135" s="36" t="str">
        <f t="shared" si="27"/>
        <v/>
      </c>
      <c r="J135" s="37" t="s">
        <v>107</v>
      </c>
    </row>
    <row r="136" spans="1:10" ht="15" customHeight="1" x14ac:dyDescent="0.25">
      <c r="A136" s="34">
        <v>120</v>
      </c>
      <c r="B136" s="6">
        <f t="shared" si="22"/>
        <v>0</v>
      </c>
      <c r="C136" s="6">
        <f t="shared" si="23"/>
        <v>0</v>
      </c>
      <c r="D136" s="6">
        <f t="shared" si="24"/>
        <v>0</v>
      </c>
      <c r="E136" s="6">
        <f t="shared" si="25"/>
        <v>0</v>
      </c>
      <c r="F136" s="35">
        <f t="shared" si="26"/>
        <v>0</v>
      </c>
      <c r="G136" s="35">
        <v>0</v>
      </c>
      <c r="H136" s="6">
        <f t="shared" si="21"/>
        <v>0</v>
      </c>
      <c r="I136" s="36" t="str">
        <f t="shared" si="27"/>
        <v/>
      </c>
      <c r="J136" s="37" t="s">
        <v>107</v>
      </c>
    </row>
    <row r="137" spans="1:10" ht="15" customHeight="1" x14ac:dyDescent="0.25">
      <c r="A137" s="34">
        <v>121</v>
      </c>
      <c r="B137" s="6">
        <f t="shared" si="22"/>
        <v>0</v>
      </c>
      <c r="C137" s="6">
        <f t="shared" si="23"/>
        <v>0</v>
      </c>
      <c r="D137" s="6">
        <f t="shared" si="24"/>
        <v>0</v>
      </c>
      <c r="E137" s="6">
        <f t="shared" si="25"/>
        <v>0</v>
      </c>
      <c r="F137" s="35">
        <f t="shared" si="26"/>
        <v>0</v>
      </c>
      <c r="G137" s="35">
        <v>0</v>
      </c>
      <c r="H137" s="6">
        <f t="shared" si="21"/>
        <v>0</v>
      </c>
      <c r="I137" s="36" t="str">
        <f t="shared" si="27"/>
        <v/>
      </c>
      <c r="J137" s="37" t="s">
        <v>107</v>
      </c>
    </row>
    <row r="138" spans="1:10" ht="15" customHeight="1" x14ac:dyDescent="0.25">
      <c r="A138" s="34">
        <v>122</v>
      </c>
      <c r="B138" s="6">
        <f t="shared" si="22"/>
        <v>0</v>
      </c>
      <c r="C138" s="6">
        <f t="shared" si="23"/>
        <v>0</v>
      </c>
      <c r="D138" s="6">
        <f t="shared" si="24"/>
        <v>0</v>
      </c>
      <c r="E138" s="6">
        <f t="shared" si="25"/>
        <v>0</v>
      </c>
      <c r="F138" s="35">
        <f t="shared" si="26"/>
        <v>0</v>
      </c>
      <c r="G138" s="35">
        <v>0</v>
      </c>
      <c r="H138" s="6">
        <f t="shared" si="21"/>
        <v>0</v>
      </c>
      <c r="I138" s="36" t="str">
        <f t="shared" si="27"/>
        <v/>
      </c>
      <c r="J138" s="37" t="s">
        <v>107</v>
      </c>
    </row>
    <row r="139" spans="1:10" ht="15" customHeight="1" x14ac:dyDescent="0.25">
      <c r="A139" s="34">
        <v>123</v>
      </c>
      <c r="B139" s="6">
        <f t="shared" si="22"/>
        <v>0</v>
      </c>
      <c r="C139" s="6">
        <f t="shared" si="23"/>
        <v>0</v>
      </c>
      <c r="D139" s="6">
        <f t="shared" si="24"/>
        <v>0</v>
      </c>
      <c r="E139" s="6">
        <f t="shared" si="25"/>
        <v>0</v>
      </c>
      <c r="F139" s="35">
        <f t="shared" si="26"/>
        <v>0</v>
      </c>
      <c r="G139" s="35">
        <v>0</v>
      </c>
      <c r="H139" s="6">
        <f t="shared" si="21"/>
        <v>0</v>
      </c>
      <c r="I139" s="36" t="str">
        <f t="shared" si="27"/>
        <v/>
      </c>
      <c r="J139" s="37" t="s">
        <v>107</v>
      </c>
    </row>
    <row r="140" spans="1:10" ht="15" customHeight="1" x14ac:dyDescent="0.25">
      <c r="A140" s="34">
        <v>124</v>
      </c>
      <c r="B140" s="6">
        <f t="shared" si="22"/>
        <v>0</v>
      </c>
      <c r="C140" s="6">
        <f t="shared" si="23"/>
        <v>0</v>
      </c>
      <c r="D140" s="6">
        <f t="shared" si="24"/>
        <v>0</v>
      </c>
      <c r="E140" s="6">
        <f t="shared" si="25"/>
        <v>0</v>
      </c>
      <c r="F140" s="35">
        <f t="shared" si="26"/>
        <v>0</v>
      </c>
      <c r="G140" s="35">
        <v>0</v>
      </c>
      <c r="H140" s="6">
        <f t="shared" si="21"/>
        <v>0</v>
      </c>
      <c r="I140" s="36" t="str">
        <f t="shared" si="27"/>
        <v/>
      </c>
      <c r="J140" s="37" t="s">
        <v>107</v>
      </c>
    </row>
    <row r="141" spans="1:10" ht="15" customHeight="1" x14ac:dyDescent="0.25">
      <c r="A141" s="34">
        <v>125</v>
      </c>
      <c r="B141" s="6">
        <f t="shared" si="22"/>
        <v>0</v>
      </c>
      <c r="C141" s="6">
        <f t="shared" si="23"/>
        <v>0</v>
      </c>
      <c r="D141" s="6">
        <f t="shared" si="24"/>
        <v>0</v>
      </c>
      <c r="E141" s="6">
        <f t="shared" si="25"/>
        <v>0</v>
      </c>
      <c r="F141" s="35">
        <f t="shared" si="26"/>
        <v>0</v>
      </c>
      <c r="G141" s="35">
        <v>0</v>
      </c>
      <c r="H141" s="6">
        <f t="shared" si="21"/>
        <v>0</v>
      </c>
      <c r="I141" s="36" t="str">
        <f t="shared" si="27"/>
        <v/>
      </c>
      <c r="J141" s="37" t="s">
        <v>107</v>
      </c>
    </row>
    <row r="142" spans="1:10" ht="15" customHeight="1" x14ac:dyDescent="0.25">
      <c r="A142" s="34">
        <v>126</v>
      </c>
      <c r="B142" s="6">
        <f t="shared" si="22"/>
        <v>0</v>
      </c>
      <c r="C142" s="6">
        <f t="shared" si="23"/>
        <v>0</v>
      </c>
      <c r="D142" s="6">
        <f t="shared" si="24"/>
        <v>0</v>
      </c>
      <c r="E142" s="6">
        <f t="shared" si="25"/>
        <v>0</v>
      </c>
      <c r="F142" s="35">
        <f t="shared" si="26"/>
        <v>0</v>
      </c>
      <c r="G142" s="35">
        <v>0</v>
      </c>
      <c r="H142" s="6">
        <f t="shared" si="21"/>
        <v>0</v>
      </c>
      <c r="I142" s="36" t="str">
        <f t="shared" si="27"/>
        <v/>
      </c>
      <c r="J142" s="37" t="s">
        <v>107</v>
      </c>
    </row>
    <row r="143" spans="1:10" ht="15" customHeight="1" x14ac:dyDescent="0.25">
      <c r="A143" s="34">
        <v>127</v>
      </c>
      <c r="B143" s="6">
        <f t="shared" si="22"/>
        <v>0</v>
      </c>
      <c r="C143" s="6">
        <f t="shared" si="23"/>
        <v>0</v>
      </c>
      <c r="D143" s="6">
        <f t="shared" si="24"/>
        <v>0</v>
      </c>
      <c r="E143" s="6">
        <f t="shared" si="25"/>
        <v>0</v>
      </c>
      <c r="F143" s="35">
        <f t="shared" si="26"/>
        <v>0</v>
      </c>
      <c r="G143" s="35">
        <v>0</v>
      </c>
      <c r="H143" s="6">
        <f t="shared" si="21"/>
        <v>0</v>
      </c>
      <c r="I143" s="36" t="str">
        <f t="shared" si="27"/>
        <v/>
      </c>
      <c r="J143" s="37" t="s">
        <v>107</v>
      </c>
    </row>
    <row r="144" spans="1:10" ht="15" customHeight="1" x14ac:dyDescent="0.25">
      <c r="A144" s="34">
        <v>128</v>
      </c>
      <c r="B144" s="6">
        <f t="shared" si="22"/>
        <v>0</v>
      </c>
      <c r="C144" s="6">
        <f t="shared" si="23"/>
        <v>0</v>
      </c>
      <c r="D144" s="6">
        <f t="shared" si="24"/>
        <v>0</v>
      </c>
      <c r="E144" s="6">
        <f t="shared" si="25"/>
        <v>0</v>
      </c>
      <c r="F144" s="35">
        <f t="shared" si="26"/>
        <v>0</v>
      </c>
      <c r="G144" s="35">
        <v>0</v>
      </c>
      <c r="H144" s="6">
        <f t="shared" si="21"/>
        <v>0</v>
      </c>
      <c r="I144" s="36" t="str">
        <f t="shared" si="27"/>
        <v/>
      </c>
      <c r="J144" s="37" t="s">
        <v>107</v>
      </c>
    </row>
    <row r="145" spans="1:10" ht="15" customHeight="1" x14ac:dyDescent="0.25">
      <c r="A145" s="34">
        <v>129</v>
      </c>
      <c r="B145" s="6">
        <f t="shared" si="22"/>
        <v>0</v>
      </c>
      <c r="C145" s="6">
        <f t="shared" si="23"/>
        <v>0</v>
      </c>
      <c r="D145" s="6">
        <f t="shared" si="24"/>
        <v>0</v>
      </c>
      <c r="E145" s="6">
        <f t="shared" si="25"/>
        <v>0</v>
      </c>
      <c r="F145" s="35">
        <f t="shared" si="26"/>
        <v>0</v>
      </c>
      <c r="G145" s="35">
        <v>0</v>
      </c>
      <c r="H145" s="6">
        <f t="shared" ref="H145:H176" si="28">IF(B145&gt;0,B145+F145,0)</f>
        <v>0</v>
      </c>
      <c r="I145" s="36" t="str">
        <f t="shared" si="27"/>
        <v/>
      </c>
      <c r="J145" s="37" t="s">
        <v>107</v>
      </c>
    </row>
    <row r="146" spans="1:10" ht="15" customHeight="1" x14ac:dyDescent="0.25">
      <c r="A146" s="34">
        <v>130</v>
      </c>
      <c r="B146" s="6">
        <f t="shared" ref="B146:B177" si="29">IF(E145&gt;0,MIN($E$5+G146+$H$11,E145+C146),0)</f>
        <v>0</v>
      </c>
      <c r="C146" s="6">
        <f t="shared" ref="C146:C177" si="30">IF(E145&gt;0,ROUND(E145*$E$4,2),0)</f>
        <v>0</v>
      </c>
      <c r="D146" s="6">
        <f t="shared" ref="D146:D177" si="31">IF(E145&gt;0,B146-C146,0)</f>
        <v>0</v>
      </c>
      <c r="E146" s="6">
        <f t="shared" ref="E146:E177" si="32">IF(E145&gt;0,MAX(E145-D146,0),0)</f>
        <v>0</v>
      </c>
      <c r="F146" s="35">
        <f t="shared" ref="F146:F177" si="33">IF(E145&gt;0,$H$5,0)</f>
        <v>0</v>
      </c>
      <c r="G146" s="35">
        <v>0</v>
      </c>
      <c r="H146" s="6">
        <f t="shared" si="28"/>
        <v>0</v>
      </c>
      <c r="I146" s="36" t="str">
        <f t="shared" ref="I146:I177" si="34">IF(E146&gt;0,EDATE($B$8,A146-1),"")</f>
        <v/>
      </c>
      <c r="J146" s="37" t="s">
        <v>107</v>
      </c>
    </row>
    <row r="147" spans="1:10" ht="15" customHeight="1" x14ac:dyDescent="0.25">
      <c r="A147" s="34">
        <v>131</v>
      </c>
      <c r="B147" s="6">
        <f t="shared" si="29"/>
        <v>0</v>
      </c>
      <c r="C147" s="6">
        <f t="shared" si="30"/>
        <v>0</v>
      </c>
      <c r="D147" s="6">
        <f t="shared" si="31"/>
        <v>0</v>
      </c>
      <c r="E147" s="6">
        <f t="shared" si="32"/>
        <v>0</v>
      </c>
      <c r="F147" s="35">
        <f t="shared" si="33"/>
        <v>0</v>
      </c>
      <c r="G147" s="35">
        <v>0</v>
      </c>
      <c r="H147" s="6">
        <f t="shared" si="28"/>
        <v>0</v>
      </c>
      <c r="I147" s="36" t="str">
        <f t="shared" si="34"/>
        <v/>
      </c>
      <c r="J147" s="37" t="s">
        <v>107</v>
      </c>
    </row>
    <row r="148" spans="1:10" ht="15" customHeight="1" x14ac:dyDescent="0.25">
      <c r="A148" s="34">
        <v>132</v>
      </c>
      <c r="B148" s="6">
        <f t="shared" si="29"/>
        <v>0</v>
      </c>
      <c r="C148" s="6">
        <f t="shared" si="30"/>
        <v>0</v>
      </c>
      <c r="D148" s="6">
        <f t="shared" si="31"/>
        <v>0</v>
      </c>
      <c r="E148" s="6">
        <f t="shared" si="32"/>
        <v>0</v>
      </c>
      <c r="F148" s="35">
        <f t="shared" si="33"/>
        <v>0</v>
      </c>
      <c r="G148" s="35">
        <v>0</v>
      </c>
      <c r="H148" s="6">
        <f t="shared" si="28"/>
        <v>0</v>
      </c>
      <c r="I148" s="36" t="str">
        <f t="shared" si="34"/>
        <v/>
      </c>
      <c r="J148" s="37" t="s">
        <v>107</v>
      </c>
    </row>
    <row r="149" spans="1:10" ht="15" customHeight="1" x14ac:dyDescent="0.25">
      <c r="A149" s="34">
        <v>133</v>
      </c>
      <c r="B149" s="6">
        <f t="shared" si="29"/>
        <v>0</v>
      </c>
      <c r="C149" s="6">
        <f t="shared" si="30"/>
        <v>0</v>
      </c>
      <c r="D149" s="6">
        <f t="shared" si="31"/>
        <v>0</v>
      </c>
      <c r="E149" s="6">
        <f t="shared" si="32"/>
        <v>0</v>
      </c>
      <c r="F149" s="35">
        <f t="shared" si="33"/>
        <v>0</v>
      </c>
      <c r="G149" s="35">
        <v>0</v>
      </c>
      <c r="H149" s="6">
        <f t="shared" si="28"/>
        <v>0</v>
      </c>
      <c r="I149" s="36" t="str">
        <f t="shared" si="34"/>
        <v/>
      </c>
      <c r="J149" s="37" t="s">
        <v>107</v>
      </c>
    </row>
    <row r="150" spans="1:10" ht="15" customHeight="1" x14ac:dyDescent="0.25">
      <c r="A150" s="34">
        <v>134</v>
      </c>
      <c r="B150" s="6">
        <f t="shared" si="29"/>
        <v>0</v>
      </c>
      <c r="C150" s="6">
        <f t="shared" si="30"/>
        <v>0</v>
      </c>
      <c r="D150" s="6">
        <f t="shared" si="31"/>
        <v>0</v>
      </c>
      <c r="E150" s="6">
        <f t="shared" si="32"/>
        <v>0</v>
      </c>
      <c r="F150" s="35">
        <f t="shared" si="33"/>
        <v>0</v>
      </c>
      <c r="G150" s="35">
        <v>0</v>
      </c>
      <c r="H150" s="6">
        <f t="shared" si="28"/>
        <v>0</v>
      </c>
      <c r="I150" s="36" t="str">
        <f t="shared" si="34"/>
        <v/>
      </c>
      <c r="J150" s="37" t="s">
        <v>107</v>
      </c>
    </row>
    <row r="151" spans="1:10" ht="15" customHeight="1" x14ac:dyDescent="0.25">
      <c r="A151" s="34">
        <v>135</v>
      </c>
      <c r="B151" s="6">
        <f t="shared" si="29"/>
        <v>0</v>
      </c>
      <c r="C151" s="6">
        <f t="shared" si="30"/>
        <v>0</v>
      </c>
      <c r="D151" s="6">
        <f t="shared" si="31"/>
        <v>0</v>
      </c>
      <c r="E151" s="6">
        <f t="shared" si="32"/>
        <v>0</v>
      </c>
      <c r="F151" s="35">
        <f t="shared" si="33"/>
        <v>0</v>
      </c>
      <c r="G151" s="35">
        <v>0</v>
      </c>
      <c r="H151" s="6">
        <f t="shared" si="28"/>
        <v>0</v>
      </c>
      <c r="I151" s="36" t="str">
        <f t="shared" si="34"/>
        <v/>
      </c>
      <c r="J151" s="37" t="s">
        <v>107</v>
      </c>
    </row>
    <row r="152" spans="1:10" ht="15" customHeight="1" x14ac:dyDescent="0.25">
      <c r="A152" s="34">
        <v>136</v>
      </c>
      <c r="B152" s="6">
        <f t="shared" si="29"/>
        <v>0</v>
      </c>
      <c r="C152" s="6">
        <f t="shared" si="30"/>
        <v>0</v>
      </c>
      <c r="D152" s="6">
        <f t="shared" si="31"/>
        <v>0</v>
      </c>
      <c r="E152" s="6">
        <f t="shared" si="32"/>
        <v>0</v>
      </c>
      <c r="F152" s="35">
        <f t="shared" si="33"/>
        <v>0</v>
      </c>
      <c r="G152" s="35">
        <v>0</v>
      </c>
      <c r="H152" s="6">
        <f t="shared" si="28"/>
        <v>0</v>
      </c>
      <c r="I152" s="36" t="str">
        <f t="shared" si="34"/>
        <v/>
      </c>
      <c r="J152" s="37" t="s">
        <v>107</v>
      </c>
    </row>
    <row r="153" spans="1:10" ht="15" customHeight="1" x14ac:dyDescent="0.25">
      <c r="A153" s="34">
        <v>137</v>
      </c>
      <c r="B153" s="6">
        <f t="shared" si="29"/>
        <v>0</v>
      </c>
      <c r="C153" s="6">
        <f t="shared" si="30"/>
        <v>0</v>
      </c>
      <c r="D153" s="6">
        <f t="shared" si="31"/>
        <v>0</v>
      </c>
      <c r="E153" s="6">
        <f t="shared" si="32"/>
        <v>0</v>
      </c>
      <c r="F153" s="35">
        <f t="shared" si="33"/>
        <v>0</v>
      </c>
      <c r="G153" s="35">
        <v>0</v>
      </c>
      <c r="H153" s="6">
        <f t="shared" si="28"/>
        <v>0</v>
      </c>
      <c r="I153" s="36" t="str">
        <f t="shared" si="34"/>
        <v/>
      </c>
      <c r="J153" s="37" t="s">
        <v>107</v>
      </c>
    </row>
    <row r="154" spans="1:10" ht="15" customHeight="1" x14ac:dyDescent="0.25">
      <c r="A154" s="34">
        <v>138</v>
      </c>
      <c r="B154" s="6">
        <f t="shared" si="29"/>
        <v>0</v>
      </c>
      <c r="C154" s="6">
        <f t="shared" si="30"/>
        <v>0</v>
      </c>
      <c r="D154" s="6">
        <f t="shared" si="31"/>
        <v>0</v>
      </c>
      <c r="E154" s="6">
        <f t="shared" si="32"/>
        <v>0</v>
      </c>
      <c r="F154" s="35">
        <f t="shared" si="33"/>
        <v>0</v>
      </c>
      <c r="G154" s="35">
        <v>0</v>
      </c>
      <c r="H154" s="6">
        <f t="shared" si="28"/>
        <v>0</v>
      </c>
      <c r="I154" s="36" t="str">
        <f t="shared" si="34"/>
        <v/>
      </c>
      <c r="J154" s="37" t="s">
        <v>107</v>
      </c>
    </row>
    <row r="155" spans="1:10" ht="15" customHeight="1" x14ac:dyDescent="0.25">
      <c r="A155" s="34">
        <v>139</v>
      </c>
      <c r="B155" s="6">
        <f t="shared" si="29"/>
        <v>0</v>
      </c>
      <c r="C155" s="6">
        <f t="shared" si="30"/>
        <v>0</v>
      </c>
      <c r="D155" s="6">
        <f t="shared" si="31"/>
        <v>0</v>
      </c>
      <c r="E155" s="6">
        <f t="shared" si="32"/>
        <v>0</v>
      </c>
      <c r="F155" s="35">
        <f t="shared" si="33"/>
        <v>0</v>
      </c>
      <c r="G155" s="35">
        <v>0</v>
      </c>
      <c r="H155" s="6">
        <f t="shared" si="28"/>
        <v>0</v>
      </c>
      <c r="I155" s="36" t="str">
        <f t="shared" si="34"/>
        <v/>
      </c>
      <c r="J155" s="37" t="s">
        <v>107</v>
      </c>
    </row>
    <row r="156" spans="1:10" ht="15" customHeight="1" x14ac:dyDescent="0.25">
      <c r="A156" s="34">
        <v>140</v>
      </c>
      <c r="B156" s="6">
        <f t="shared" si="29"/>
        <v>0</v>
      </c>
      <c r="C156" s="6">
        <f t="shared" si="30"/>
        <v>0</v>
      </c>
      <c r="D156" s="6">
        <f t="shared" si="31"/>
        <v>0</v>
      </c>
      <c r="E156" s="6">
        <f t="shared" si="32"/>
        <v>0</v>
      </c>
      <c r="F156" s="35">
        <f t="shared" si="33"/>
        <v>0</v>
      </c>
      <c r="G156" s="35">
        <v>0</v>
      </c>
      <c r="H156" s="6">
        <f t="shared" si="28"/>
        <v>0</v>
      </c>
      <c r="I156" s="36" t="str">
        <f t="shared" si="34"/>
        <v/>
      </c>
      <c r="J156" s="37" t="s">
        <v>107</v>
      </c>
    </row>
    <row r="157" spans="1:10" ht="15" customHeight="1" x14ac:dyDescent="0.25">
      <c r="A157" s="34">
        <v>141</v>
      </c>
      <c r="B157" s="6">
        <f t="shared" si="29"/>
        <v>0</v>
      </c>
      <c r="C157" s="6">
        <f t="shared" si="30"/>
        <v>0</v>
      </c>
      <c r="D157" s="6">
        <f t="shared" si="31"/>
        <v>0</v>
      </c>
      <c r="E157" s="6">
        <f t="shared" si="32"/>
        <v>0</v>
      </c>
      <c r="F157" s="35">
        <f t="shared" si="33"/>
        <v>0</v>
      </c>
      <c r="G157" s="35">
        <v>0</v>
      </c>
      <c r="H157" s="6">
        <f t="shared" si="28"/>
        <v>0</v>
      </c>
      <c r="I157" s="36" t="str">
        <f t="shared" si="34"/>
        <v/>
      </c>
      <c r="J157" s="37" t="s">
        <v>107</v>
      </c>
    </row>
    <row r="158" spans="1:10" ht="15" customHeight="1" x14ac:dyDescent="0.25">
      <c r="A158" s="34">
        <v>142</v>
      </c>
      <c r="B158" s="6">
        <f t="shared" si="29"/>
        <v>0</v>
      </c>
      <c r="C158" s="6">
        <f t="shared" si="30"/>
        <v>0</v>
      </c>
      <c r="D158" s="6">
        <f t="shared" si="31"/>
        <v>0</v>
      </c>
      <c r="E158" s="6">
        <f t="shared" si="32"/>
        <v>0</v>
      </c>
      <c r="F158" s="35">
        <f t="shared" si="33"/>
        <v>0</v>
      </c>
      <c r="G158" s="35">
        <v>0</v>
      </c>
      <c r="H158" s="6">
        <f t="shared" si="28"/>
        <v>0</v>
      </c>
      <c r="I158" s="36" t="str">
        <f t="shared" si="34"/>
        <v/>
      </c>
      <c r="J158" s="37" t="s">
        <v>107</v>
      </c>
    </row>
    <row r="159" spans="1:10" ht="15" customHeight="1" x14ac:dyDescent="0.25">
      <c r="A159" s="34">
        <v>143</v>
      </c>
      <c r="B159" s="6">
        <f t="shared" si="29"/>
        <v>0</v>
      </c>
      <c r="C159" s="6">
        <f t="shared" si="30"/>
        <v>0</v>
      </c>
      <c r="D159" s="6">
        <f t="shared" si="31"/>
        <v>0</v>
      </c>
      <c r="E159" s="6">
        <f t="shared" si="32"/>
        <v>0</v>
      </c>
      <c r="F159" s="35">
        <f t="shared" si="33"/>
        <v>0</v>
      </c>
      <c r="G159" s="35">
        <v>0</v>
      </c>
      <c r="H159" s="6">
        <f t="shared" si="28"/>
        <v>0</v>
      </c>
      <c r="I159" s="36" t="str">
        <f t="shared" si="34"/>
        <v/>
      </c>
      <c r="J159" s="37" t="s">
        <v>107</v>
      </c>
    </row>
    <row r="160" spans="1:10" ht="15" customHeight="1" x14ac:dyDescent="0.25">
      <c r="A160" s="34">
        <v>144</v>
      </c>
      <c r="B160" s="6">
        <f t="shared" si="29"/>
        <v>0</v>
      </c>
      <c r="C160" s="6">
        <f t="shared" si="30"/>
        <v>0</v>
      </c>
      <c r="D160" s="6">
        <f t="shared" si="31"/>
        <v>0</v>
      </c>
      <c r="E160" s="6">
        <f t="shared" si="32"/>
        <v>0</v>
      </c>
      <c r="F160" s="35">
        <f t="shared" si="33"/>
        <v>0</v>
      </c>
      <c r="G160" s="35">
        <v>0</v>
      </c>
      <c r="H160" s="6">
        <f t="shared" si="28"/>
        <v>0</v>
      </c>
      <c r="I160" s="36" t="str">
        <f t="shared" si="34"/>
        <v/>
      </c>
      <c r="J160" s="37" t="s">
        <v>107</v>
      </c>
    </row>
    <row r="161" spans="1:10" ht="15" customHeight="1" x14ac:dyDescent="0.25">
      <c r="A161" s="34">
        <v>145</v>
      </c>
      <c r="B161" s="6">
        <f t="shared" si="29"/>
        <v>0</v>
      </c>
      <c r="C161" s="6">
        <f t="shared" si="30"/>
        <v>0</v>
      </c>
      <c r="D161" s="6">
        <f t="shared" si="31"/>
        <v>0</v>
      </c>
      <c r="E161" s="6">
        <f t="shared" si="32"/>
        <v>0</v>
      </c>
      <c r="F161" s="35">
        <f t="shared" si="33"/>
        <v>0</v>
      </c>
      <c r="G161" s="35">
        <v>0</v>
      </c>
      <c r="H161" s="6">
        <f t="shared" si="28"/>
        <v>0</v>
      </c>
      <c r="I161" s="36" t="str">
        <f t="shared" si="34"/>
        <v/>
      </c>
      <c r="J161" s="37" t="s">
        <v>107</v>
      </c>
    </row>
    <row r="162" spans="1:10" ht="15" customHeight="1" x14ac:dyDescent="0.25">
      <c r="A162" s="34">
        <v>146</v>
      </c>
      <c r="B162" s="6">
        <f t="shared" si="29"/>
        <v>0</v>
      </c>
      <c r="C162" s="6">
        <f t="shared" si="30"/>
        <v>0</v>
      </c>
      <c r="D162" s="6">
        <f t="shared" si="31"/>
        <v>0</v>
      </c>
      <c r="E162" s="6">
        <f t="shared" si="32"/>
        <v>0</v>
      </c>
      <c r="F162" s="35">
        <f t="shared" si="33"/>
        <v>0</v>
      </c>
      <c r="G162" s="35">
        <v>0</v>
      </c>
      <c r="H162" s="6">
        <f t="shared" si="28"/>
        <v>0</v>
      </c>
      <c r="I162" s="36" t="str">
        <f t="shared" si="34"/>
        <v/>
      </c>
      <c r="J162" s="37" t="s">
        <v>107</v>
      </c>
    </row>
    <row r="163" spans="1:10" ht="15" customHeight="1" x14ac:dyDescent="0.25">
      <c r="A163" s="34">
        <v>147</v>
      </c>
      <c r="B163" s="6">
        <f t="shared" si="29"/>
        <v>0</v>
      </c>
      <c r="C163" s="6">
        <f t="shared" si="30"/>
        <v>0</v>
      </c>
      <c r="D163" s="6">
        <f t="shared" si="31"/>
        <v>0</v>
      </c>
      <c r="E163" s="6">
        <f t="shared" si="32"/>
        <v>0</v>
      </c>
      <c r="F163" s="35">
        <f t="shared" si="33"/>
        <v>0</v>
      </c>
      <c r="G163" s="35">
        <v>0</v>
      </c>
      <c r="H163" s="6">
        <f t="shared" si="28"/>
        <v>0</v>
      </c>
      <c r="I163" s="36" t="str">
        <f t="shared" si="34"/>
        <v/>
      </c>
      <c r="J163" s="37" t="s">
        <v>107</v>
      </c>
    </row>
    <row r="164" spans="1:10" ht="15" customHeight="1" x14ac:dyDescent="0.25">
      <c r="A164" s="34">
        <v>148</v>
      </c>
      <c r="B164" s="6">
        <f t="shared" si="29"/>
        <v>0</v>
      </c>
      <c r="C164" s="6">
        <f t="shared" si="30"/>
        <v>0</v>
      </c>
      <c r="D164" s="6">
        <f t="shared" si="31"/>
        <v>0</v>
      </c>
      <c r="E164" s="6">
        <f t="shared" si="32"/>
        <v>0</v>
      </c>
      <c r="F164" s="35">
        <f t="shared" si="33"/>
        <v>0</v>
      </c>
      <c r="G164" s="35">
        <v>0</v>
      </c>
      <c r="H164" s="6">
        <f t="shared" si="28"/>
        <v>0</v>
      </c>
      <c r="I164" s="36" t="str">
        <f t="shared" si="34"/>
        <v/>
      </c>
      <c r="J164" s="37" t="s">
        <v>107</v>
      </c>
    </row>
    <row r="165" spans="1:10" ht="15" customHeight="1" x14ac:dyDescent="0.25">
      <c r="A165" s="34">
        <v>149</v>
      </c>
      <c r="B165" s="6">
        <f t="shared" si="29"/>
        <v>0</v>
      </c>
      <c r="C165" s="6">
        <f t="shared" si="30"/>
        <v>0</v>
      </c>
      <c r="D165" s="6">
        <f t="shared" si="31"/>
        <v>0</v>
      </c>
      <c r="E165" s="6">
        <f t="shared" si="32"/>
        <v>0</v>
      </c>
      <c r="F165" s="35">
        <f t="shared" si="33"/>
        <v>0</v>
      </c>
      <c r="G165" s="35">
        <v>0</v>
      </c>
      <c r="H165" s="6">
        <f t="shared" si="28"/>
        <v>0</v>
      </c>
      <c r="I165" s="36" t="str">
        <f t="shared" si="34"/>
        <v/>
      </c>
      <c r="J165" s="37" t="s">
        <v>107</v>
      </c>
    </row>
    <row r="166" spans="1:10" ht="15" customHeight="1" x14ac:dyDescent="0.25">
      <c r="A166" s="34">
        <v>150</v>
      </c>
      <c r="B166" s="6">
        <f t="shared" si="29"/>
        <v>0</v>
      </c>
      <c r="C166" s="6">
        <f t="shared" si="30"/>
        <v>0</v>
      </c>
      <c r="D166" s="6">
        <f t="shared" si="31"/>
        <v>0</v>
      </c>
      <c r="E166" s="6">
        <f t="shared" si="32"/>
        <v>0</v>
      </c>
      <c r="F166" s="35">
        <f t="shared" si="33"/>
        <v>0</v>
      </c>
      <c r="G166" s="35">
        <v>0</v>
      </c>
      <c r="H166" s="6">
        <f t="shared" si="28"/>
        <v>0</v>
      </c>
      <c r="I166" s="36" t="str">
        <f t="shared" si="34"/>
        <v/>
      </c>
      <c r="J166" s="37" t="s">
        <v>107</v>
      </c>
    </row>
    <row r="167" spans="1:10" ht="15" customHeight="1" x14ac:dyDescent="0.25">
      <c r="A167" s="34">
        <v>151</v>
      </c>
      <c r="B167" s="6">
        <f t="shared" si="29"/>
        <v>0</v>
      </c>
      <c r="C167" s="6">
        <f t="shared" si="30"/>
        <v>0</v>
      </c>
      <c r="D167" s="6">
        <f t="shared" si="31"/>
        <v>0</v>
      </c>
      <c r="E167" s="6">
        <f t="shared" si="32"/>
        <v>0</v>
      </c>
      <c r="F167" s="35">
        <f t="shared" si="33"/>
        <v>0</v>
      </c>
      <c r="G167" s="35">
        <v>0</v>
      </c>
      <c r="H167" s="6">
        <f t="shared" si="28"/>
        <v>0</v>
      </c>
      <c r="I167" s="36" t="str">
        <f t="shared" si="34"/>
        <v/>
      </c>
      <c r="J167" s="37" t="s">
        <v>107</v>
      </c>
    </row>
    <row r="168" spans="1:10" ht="15" customHeight="1" x14ac:dyDescent="0.25">
      <c r="A168" s="34">
        <v>152</v>
      </c>
      <c r="B168" s="6">
        <f t="shared" si="29"/>
        <v>0</v>
      </c>
      <c r="C168" s="6">
        <f t="shared" si="30"/>
        <v>0</v>
      </c>
      <c r="D168" s="6">
        <f t="shared" si="31"/>
        <v>0</v>
      </c>
      <c r="E168" s="6">
        <f t="shared" si="32"/>
        <v>0</v>
      </c>
      <c r="F168" s="35">
        <f t="shared" si="33"/>
        <v>0</v>
      </c>
      <c r="G168" s="35">
        <v>0</v>
      </c>
      <c r="H168" s="6">
        <f t="shared" si="28"/>
        <v>0</v>
      </c>
      <c r="I168" s="36" t="str">
        <f t="shared" si="34"/>
        <v/>
      </c>
      <c r="J168" s="37" t="s">
        <v>107</v>
      </c>
    </row>
    <row r="169" spans="1:10" ht="15" customHeight="1" x14ac:dyDescent="0.25">
      <c r="A169" s="34">
        <v>153</v>
      </c>
      <c r="B169" s="6">
        <f t="shared" si="29"/>
        <v>0</v>
      </c>
      <c r="C169" s="6">
        <f t="shared" si="30"/>
        <v>0</v>
      </c>
      <c r="D169" s="6">
        <f t="shared" si="31"/>
        <v>0</v>
      </c>
      <c r="E169" s="6">
        <f t="shared" si="32"/>
        <v>0</v>
      </c>
      <c r="F169" s="35">
        <f t="shared" si="33"/>
        <v>0</v>
      </c>
      <c r="G169" s="35">
        <v>0</v>
      </c>
      <c r="H169" s="6">
        <f t="shared" si="28"/>
        <v>0</v>
      </c>
      <c r="I169" s="36" t="str">
        <f t="shared" si="34"/>
        <v/>
      </c>
      <c r="J169" s="37" t="s">
        <v>107</v>
      </c>
    </row>
    <row r="170" spans="1:10" ht="15" customHeight="1" x14ac:dyDescent="0.25">
      <c r="A170" s="34">
        <v>154</v>
      </c>
      <c r="B170" s="6">
        <f t="shared" si="29"/>
        <v>0</v>
      </c>
      <c r="C170" s="6">
        <f t="shared" si="30"/>
        <v>0</v>
      </c>
      <c r="D170" s="6">
        <f t="shared" si="31"/>
        <v>0</v>
      </c>
      <c r="E170" s="6">
        <f t="shared" si="32"/>
        <v>0</v>
      </c>
      <c r="F170" s="35">
        <f t="shared" si="33"/>
        <v>0</v>
      </c>
      <c r="G170" s="35">
        <v>0</v>
      </c>
      <c r="H170" s="6">
        <f t="shared" si="28"/>
        <v>0</v>
      </c>
      <c r="I170" s="36" t="str">
        <f t="shared" si="34"/>
        <v/>
      </c>
      <c r="J170" s="37" t="s">
        <v>107</v>
      </c>
    </row>
    <row r="171" spans="1:10" ht="15" customHeight="1" x14ac:dyDescent="0.25">
      <c r="A171" s="34">
        <v>155</v>
      </c>
      <c r="B171" s="6">
        <f t="shared" si="29"/>
        <v>0</v>
      </c>
      <c r="C171" s="6">
        <f t="shared" si="30"/>
        <v>0</v>
      </c>
      <c r="D171" s="6">
        <f t="shared" si="31"/>
        <v>0</v>
      </c>
      <c r="E171" s="6">
        <f t="shared" si="32"/>
        <v>0</v>
      </c>
      <c r="F171" s="35">
        <f t="shared" si="33"/>
        <v>0</v>
      </c>
      <c r="G171" s="35">
        <v>0</v>
      </c>
      <c r="H171" s="6">
        <f t="shared" si="28"/>
        <v>0</v>
      </c>
      <c r="I171" s="36" t="str">
        <f t="shared" si="34"/>
        <v/>
      </c>
      <c r="J171" s="37" t="s">
        <v>107</v>
      </c>
    </row>
    <row r="172" spans="1:10" ht="15" customHeight="1" x14ac:dyDescent="0.25">
      <c r="A172" s="34">
        <v>156</v>
      </c>
      <c r="B172" s="6">
        <f t="shared" si="29"/>
        <v>0</v>
      </c>
      <c r="C172" s="6">
        <f t="shared" si="30"/>
        <v>0</v>
      </c>
      <c r="D172" s="6">
        <f t="shared" si="31"/>
        <v>0</v>
      </c>
      <c r="E172" s="6">
        <f t="shared" si="32"/>
        <v>0</v>
      </c>
      <c r="F172" s="35">
        <f t="shared" si="33"/>
        <v>0</v>
      </c>
      <c r="G172" s="35">
        <v>0</v>
      </c>
      <c r="H172" s="6">
        <f t="shared" si="28"/>
        <v>0</v>
      </c>
      <c r="I172" s="36" t="str">
        <f t="shared" si="34"/>
        <v/>
      </c>
      <c r="J172" s="37" t="s">
        <v>107</v>
      </c>
    </row>
    <row r="173" spans="1:10" ht="15" customHeight="1" x14ac:dyDescent="0.25">
      <c r="A173" s="34">
        <v>157</v>
      </c>
      <c r="B173" s="6">
        <f t="shared" si="29"/>
        <v>0</v>
      </c>
      <c r="C173" s="6">
        <f t="shared" si="30"/>
        <v>0</v>
      </c>
      <c r="D173" s="6">
        <f t="shared" si="31"/>
        <v>0</v>
      </c>
      <c r="E173" s="6">
        <f t="shared" si="32"/>
        <v>0</v>
      </c>
      <c r="F173" s="35">
        <f t="shared" si="33"/>
        <v>0</v>
      </c>
      <c r="G173" s="35">
        <v>0</v>
      </c>
      <c r="H173" s="6">
        <f t="shared" si="28"/>
        <v>0</v>
      </c>
      <c r="I173" s="36" t="str">
        <f t="shared" si="34"/>
        <v/>
      </c>
      <c r="J173" s="37" t="s">
        <v>107</v>
      </c>
    </row>
    <row r="174" spans="1:10" ht="15" customHeight="1" x14ac:dyDescent="0.25">
      <c r="A174" s="34">
        <v>158</v>
      </c>
      <c r="B174" s="6">
        <f t="shared" si="29"/>
        <v>0</v>
      </c>
      <c r="C174" s="6">
        <f t="shared" si="30"/>
        <v>0</v>
      </c>
      <c r="D174" s="6">
        <f t="shared" si="31"/>
        <v>0</v>
      </c>
      <c r="E174" s="6">
        <f t="shared" si="32"/>
        <v>0</v>
      </c>
      <c r="F174" s="35">
        <f t="shared" si="33"/>
        <v>0</v>
      </c>
      <c r="G174" s="35">
        <v>0</v>
      </c>
      <c r="H174" s="6">
        <f t="shared" si="28"/>
        <v>0</v>
      </c>
      <c r="I174" s="36" t="str">
        <f t="shared" si="34"/>
        <v/>
      </c>
      <c r="J174" s="37" t="s">
        <v>107</v>
      </c>
    </row>
    <row r="175" spans="1:10" ht="15" customHeight="1" x14ac:dyDescent="0.25">
      <c r="A175" s="34">
        <v>159</v>
      </c>
      <c r="B175" s="6">
        <f t="shared" si="29"/>
        <v>0</v>
      </c>
      <c r="C175" s="6">
        <f t="shared" si="30"/>
        <v>0</v>
      </c>
      <c r="D175" s="6">
        <f t="shared" si="31"/>
        <v>0</v>
      </c>
      <c r="E175" s="6">
        <f t="shared" si="32"/>
        <v>0</v>
      </c>
      <c r="F175" s="35">
        <f t="shared" si="33"/>
        <v>0</v>
      </c>
      <c r="G175" s="35">
        <v>0</v>
      </c>
      <c r="H175" s="6">
        <f t="shared" si="28"/>
        <v>0</v>
      </c>
      <c r="I175" s="36" t="str">
        <f t="shared" si="34"/>
        <v/>
      </c>
      <c r="J175" s="37" t="s">
        <v>107</v>
      </c>
    </row>
    <row r="176" spans="1:10" ht="15" customHeight="1" x14ac:dyDescent="0.25">
      <c r="A176" s="34">
        <v>160</v>
      </c>
      <c r="B176" s="6">
        <f t="shared" si="29"/>
        <v>0</v>
      </c>
      <c r="C176" s="6">
        <f t="shared" si="30"/>
        <v>0</v>
      </c>
      <c r="D176" s="6">
        <f t="shared" si="31"/>
        <v>0</v>
      </c>
      <c r="E176" s="6">
        <f t="shared" si="32"/>
        <v>0</v>
      </c>
      <c r="F176" s="35">
        <f t="shared" si="33"/>
        <v>0</v>
      </c>
      <c r="G176" s="35">
        <v>0</v>
      </c>
      <c r="H176" s="6">
        <f t="shared" si="28"/>
        <v>0</v>
      </c>
      <c r="I176" s="36" t="str">
        <f t="shared" si="34"/>
        <v/>
      </c>
      <c r="J176" s="37" t="s">
        <v>107</v>
      </c>
    </row>
    <row r="177" spans="1:10" ht="15" customHeight="1" x14ac:dyDescent="0.25">
      <c r="A177" s="34">
        <v>161</v>
      </c>
      <c r="B177" s="6">
        <f t="shared" si="29"/>
        <v>0</v>
      </c>
      <c r="C177" s="6">
        <f t="shared" si="30"/>
        <v>0</v>
      </c>
      <c r="D177" s="6">
        <f t="shared" si="31"/>
        <v>0</v>
      </c>
      <c r="E177" s="6">
        <f t="shared" si="32"/>
        <v>0</v>
      </c>
      <c r="F177" s="35">
        <f t="shared" si="33"/>
        <v>0</v>
      </c>
      <c r="G177" s="35">
        <v>0</v>
      </c>
      <c r="H177" s="6">
        <f t="shared" ref="H177:H208" si="35">IF(B177&gt;0,B177+F177,0)</f>
        <v>0</v>
      </c>
      <c r="I177" s="36" t="str">
        <f t="shared" si="34"/>
        <v/>
      </c>
      <c r="J177" s="37" t="s">
        <v>107</v>
      </c>
    </row>
    <row r="178" spans="1:10" ht="15" customHeight="1" x14ac:dyDescent="0.25">
      <c r="A178" s="34">
        <v>162</v>
      </c>
      <c r="B178" s="6">
        <f t="shared" ref="B178:B209" si="36">IF(E177&gt;0,MIN($E$5+G178+$H$11,E177+C178),0)</f>
        <v>0</v>
      </c>
      <c r="C178" s="6">
        <f t="shared" ref="C178:C209" si="37">IF(E177&gt;0,ROUND(E177*$E$4,2),0)</f>
        <v>0</v>
      </c>
      <c r="D178" s="6">
        <f t="shared" ref="D178:D209" si="38">IF(E177&gt;0,B178-C178,0)</f>
        <v>0</v>
      </c>
      <c r="E178" s="6">
        <f t="shared" ref="E178:E209" si="39">IF(E177&gt;0,MAX(E177-D178,0),0)</f>
        <v>0</v>
      </c>
      <c r="F178" s="35">
        <f t="shared" ref="F178:F209" si="40">IF(E177&gt;0,$H$5,0)</f>
        <v>0</v>
      </c>
      <c r="G178" s="35">
        <v>0</v>
      </c>
      <c r="H178" s="6">
        <f t="shared" si="35"/>
        <v>0</v>
      </c>
      <c r="I178" s="36" t="str">
        <f t="shared" ref="I178:I209" si="41">IF(E178&gt;0,EDATE($B$8,A178-1),"")</f>
        <v/>
      </c>
      <c r="J178" s="37" t="s">
        <v>107</v>
      </c>
    </row>
    <row r="179" spans="1:10" ht="15" customHeight="1" x14ac:dyDescent="0.25">
      <c r="A179" s="34">
        <v>163</v>
      </c>
      <c r="B179" s="6">
        <f t="shared" si="36"/>
        <v>0</v>
      </c>
      <c r="C179" s="6">
        <f t="shared" si="37"/>
        <v>0</v>
      </c>
      <c r="D179" s="6">
        <f t="shared" si="38"/>
        <v>0</v>
      </c>
      <c r="E179" s="6">
        <f t="shared" si="39"/>
        <v>0</v>
      </c>
      <c r="F179" s="35">
        <f t="shared" si="40"/>
        <v>0</v>
      </c>
      <c r="G179" s="35">
        <v>0</v>
      </c>
      <c r="H179" s="6">
        <f t="shared" si="35"/>
        <v>0</v>
      </c>
      <c r="I179" s="36" t="str">
        <f t="shared" si="41"/>
        <v/>
      </c>
      <c r="J179" s="37" t="s">
        <v>107</v>
      </c>
    </row>
    <row r="180" spans="1:10" ht="15" customHeight="1" x14ac:dyDescent="0.25">
      <c r="A180" s="34">
        <v>164</v>
      </c>
      <c r="B180" s="6">
        <f t="shared" si="36"/>
        <v>0</v>
      </c>
      <c r="C180" s="6">
        <f t="shared" si="37"/>
        <v>0</v>
      </c>
      <c r="D180" s="6">
        <f t="shared" si="38"/>
        <v>0</v>
      </c>
      <c r="E180" s="6">
        <f t="shared" si="39"/>
        <v>0</v>
      </c>
      <c r="F180" s="35">
        <f t="shared" si="40"/>
        <v>0</v>
      </c>
      <c r="G180" s="35">
        <v>0</v>
      </c>
      <c r="H180" s="6">
        <f t="shared" si="35"/>
        <v>0</v>
      </c>
      <c r="I180" s="36" t="str">
        <f t="shared" si="41"/>
        <v/>
      </c>
      <c r="J180" s="37" t="s">
        <v>107</v>
      </c>
    </row>
    <row r="181" spans="1:10" ht="15" customHeight="1" x14ac:dyDescent="0.25">
      <c r="A181" s="34">
        <v>165</v>
      </c>
      <c r="B181" s="6">
        <f t="shared" si="36"/>
        <v>0</v>
      </c>
      <c r="C181" s="6">
        <f t="shared" si="37"/>
        <v>0</v>
      </c>
      <c r="D181" s="6">
        <f t="shared" si="38"/>
        <v>0</v>
      </c>
      <c r="E181" s="6">
        <f t="shared" si="39"/>
        <v>0</v>
      </c>
      <c r="F181" s="35">
        <f t="shared" si="40"/>
        <v>0</v>
      </c>
      <c r="G181" s="35">
        <v>0</v>
      </c>
      <c r="H181" s="6">
        <f t="shared" si="35"/>
        <v>0</v>
      </c>
      <c r="I181" s="36" t="str">
        <f t="shared" si="41"/>
        <v/>
      </c>
      <c r="J181" s="37" t="s">
        <v>107</v>
      </c>
    </row>
    <row r="182" spans="1:10" ht="15" customHeight="1" x14ac:dyDescent="0.25">
      <c r="A182" s="34">
        <v>166</v>
      </c>
      <c r="B182" s="6">
        <f t="shared" si="36"/>
        <v>0</v>
      </c>
      <c r="C182" s="6">
        <f t="shared" si="37"/>
        <v>0</v>
      </c>
      <c r="D182" s="6">
        <f t="shared" si="38"/>
        <v>0</v>
      </c>
      <c r="E182" s="6">
        <f t="shared" si="39"/>
        <v>0</v>
      </c>
      <c r="F182" s="35">
        <f t="shared" si="40"/>
        <v>0</v>
      </c>
      <c r="G182" s="35">
        <v>0</v>
      </c>
      <c r="H182" s="6">
        <f t="shared" si="35"/>
        <v>0</v>
      </c>
      <c r="I182" s="36" t="str">
        <f t="shared" si="41"/>
        <v/>
      </c>
      <c r="J182" s="37" t="s">
        <v>107</v>
      </c>
    </row>
    <row r="183" spans="1:10" ht="15" customHeight="1" x14ac:dyDescent="0.25">
      <c r="A183" s="34">
        <v>167</v>
      </c>
      <c r="B183" s="6">
        <f t="shared" si="36"/>
        <v>0</v>
      </c>
      <c r="C183" s="6">
        <f t="shared" si="37"/>
        <v>0</v>
      </c>
      <c r="D183" s="6">
        <f t="shared" si="38"/>
        <v>0</v>
      </c>
      <c r="E183" s="6">
        <f t="shared" si="39"/>
        <v>0</v>
      </c>
      <c r="F183" s="35">
        <f t="shared" si="40"/>
        <v>0</v>
      </c>
      <c r="G183" s="35">
        <v>0</v>
      </c>
      <c r="H183" s="6">
        <f t="shared" si="35"/>
        <v>0</v>
      </c>
      <c r="I183" s="36" t="str">
        <f t="shared" si="41"/>
        <v/>
      </c>
      <c r="J183" s="37" t="s">
        <v>107</v>
      </c>
    </row>
    <row r="184" spans="1:10" ht="15" customHeight="1" x14ac:dyDescent="0.25">
      <c r="A184" s="34">
        <v>168</v>
      </c>
      <c r="B184" s="6">
        <f t="shared" si="36"/>
        <v>0</v>
      </c>
      <c r="C184" s="6">
        <f t="shared" si="37"/>
        <v>0</v>
      </c>
      <c r="D184" s="6">
        <f t="shared" si="38"/>
        <v>0</v>
      </c>
      <c r="E184" s="6">
        <f t="shared" si="39"/>
        <v>0</v>
      </c>
      <c r="F184" s="35">
        <f t="shared" si="40"/>
        <v>0</v>
      </c>
      <c r="G184" s="35">
        <v>0</v>
      </c>
      <c r="H184" s="6">
        <f t="shared" si="35"/>
        <v>0</v>
      </c>
      <c r="I184" s="36" t="str">
        <f t="shared" si="41"/>
        <v/>
      </c>
      <c r="J184" s="37" t="s">
        <v>107</v>
      </c>
    </row>
    <row r="185" spans="1:10" ht="15" customHeight="1" x14ac:dyDescent="0.25">
      <c r="A185" s="34">
        <v>169</v>
      </c>
      <c r="B185" s="6">
        <f t="shared" si="36"/>
        <v>0</v>
      </c>
      <c r="C185" s="6">
        <f t="shared" si="37"/>
        <v>0</v>
      </c>
      <c r="D185" s="6">
        <f t="shared" si="38"/>
        <v>0</v>
      </c>
      <c r="E185" s="6">
        <f t="shared" si="39"/>
        <v>0</v>
      </c>
      <c r="F185" s="35">
        <f t="shared" si="40"/>
        <v>0</v>
      </c>
      <c r="G185" s="35">
        <v>0</v>
      </c>
      <c r="H185" s="6">
        <f t="shared" si="35"/>
        <v>0</v>
      </c>
      <c r="I185" s="36" t="str">
        <f t="shared" si="41"/>
        <v/>
      </c>
      <c r="J185" s="37" t="s">
        <v>107</v>
      </c>
    </row>
    <row r="186" spans="1:10" ht="15" customHeight="1" x14ac:dyDescent="0.25">
      <c r="A186" s="34">
        <v>170</v>
      </c>
      <c r="B186" s="6">
        <f t="shared" si="36"/>
        <v>0</v>
      </c>
      <c r="C186" s="6">
        <f t="shared" si="37"/>
        <v>0</v>
      </c>
      <c r="D186" s="6">
        <f t="shared" si="38"/>
        <v>0</v>
      </c>
      <c r="E186" s="6">
        <f t="shared" si="39"/>
        <v>0</v>
      </c>
      <c r="F186" s="35">
        <f t="shared" si="40"/>
        <v>0</v>
      </c>
      <c r="G186" s="35">
        <v>0</v>
      </c>
      <c r="H186" s="6">
        <f t="shared" si="35"/>
        <v>0</v>
      </c>
      <c r="I186" s="36" t="str">
        <f t="shared" si="41"/>
        <v/>
      </c>
      <c r="J186" s="37" t="s">
        <v>107</v>
      </c>
    </row>
    <row r="187" spans="1:10" ht="15" customHeight="1" x14ac:dyDescent="0.25">
      <c r="A187" s="34">
        <v>171</v>
      </c>
      <c r="B187" s="6">
        <f t="shared" si="36"/>
        <v>0</v>
      </c>
      <c r="C187" s="6">
        <f t="shared" si="37"/>
        <v>0</v>
      </c>
      <c r="D187" s="6">
        <f t="shared" si="38"/>
        <v>0</v>
      </c>
      <c r="E187" s="6">
        <f t="shared" si="39"/>
        <v>0</v>
      </c>
      <c r="F187" s="35">
        <f t="shared" si="40"/>
        <v>0</v>
      </c>
      <c r="G187" s="35">
        <v>0</v>
      </c>
      <c r="H187" s="6">
        <f t="shared" si="35"/>
        <v>0</v>
      </c>
      <c r="I187" s="36" t="str">
        <f t="shared" si="41"/>
        <v/>
      </c>
      <c r="J187" s="37" t="s">
        <v>107</v>
      </c>
    </row>
    <row r="188" spans="1:10" ht="15" customHeight="1" x14ac:dyDescent="0.25">
      <c r="A188" s="34">
        <v>172</v>
      </c>
      <c r="B188" s="6">
        <f t="shared" si="36"/>
        <v>0</v>
      </c>
      <c r="C188" s="6">
        <f t="shared" si="37"/>
        <v>0</v>
      </c>
      <c r="D188" s="6">
        <f t="shared" si="38"/>
        <v>0</v>
      </c>
      <c r="E188" s="6">
        <f t="shared" si="39"/>
        <v>0</v>
      </c>
      <c r="F188" s="35">
        <f t="shared" si="40"/>
        <v>0</v>
      </c>
      <c r="G188" s="35">
        <v>0</v>
      </c>
      <c r="H188" s="6">
        <f t="shared" si="35"/>
        <v>0</v>
      </c>
      <c r="I188" s="36" t="str">
        <f t="shared" si="41"/>
        <v/>
      </c>
      <c r="J188" s="37" t="s">
        <v>107</v>
      </c>
    </row>
    <row r="189" spans="1:10" ht="15" customHeight="1" x14ac:dyDescent="0.25">
      <c r="A189" s="34">
        <v>173</v>
      </c>
      <c r="B189" s="6">
        <f t="shared" si="36"/>
        <v>0</v>
      </c>
      <c r="C189" s="6">
        <f t="shared" si="37"/>
        <v>0</v>
      </c>
      <c r="D189" s="6">
        <f t="shared" si="38"/>
        <v>0</v>
      </c>
      <c r="E189" s="6">
        <f t="shared" si="39"/>
        <v>0</v>
      </c>
      <c r="F189" s="35">
        <f t="shared" si="40"/>
        <v>0</v>
      </c>
      <c r="G189" s="35">
        <v>0</v>
      </c>
      <c r="H189" s="6">
        <f t="shared" si="35"/>
        <v>0</v>
      </c>
      <c r="I189" s="36" t="str">
        <f t="shared" si="41"/>
        <v/>
      </c>
      <c r="J189" s="37" t="s">
        <v>107</v>
      </c>
    </row>
    <row r="190" spans="1:10" ht="15" customHeight="1" x14ac:dyDescent="0.25">
      <c r="A190" s="34">
        <v>174</v>
      </c>
      <c r="B190" s="6">
        <f t="shared" si="36"/>
        <v>0</v>
      </c>
      <c r="C190" s="6">
        <f t="shared" si="37"/>
        <v>0</v>
      </c>
      <c r="D190" s="6">
        <f t="shared" si="38"/>
        <v>0</v>
      </c>
      <c r="E190" s="6">
        <f t="shared" si="39"/>
        <v>0</v>
      </c>
      <c r="F190" s="35">
        <f t="shared" si="40"/>
        <v>0</v>
      </c>
      <c r="G190" s="35">
        <v>0</v>
      </c>
      <c r="H190" s="6">
        <f t="shared" si="35"/>
        <v>0</v>
      </c>
      <c r="I190" s="36" t="str">
        <f t="shared" si="41"/>
        <v/>
      </c>
      <c r="J190" s="37" t="s">
        <v>107</v>
      </c>
    </row>
    <row r="191" spans="1:10" ht="15" customHeight="1" x14ac:dyDescent="0.25">
      <c r="A191" s="34">
        <v>175</v>
      </c>
      <c r="B191" s="6">
        <f t="shared" si="36"/>
        <v>0</v>
      </c>
      <c r="C191" s="6">
        <f t="shared" si="37"/>
        <v>0</v>
      </c>
      <c r="D191" s="6">
        <f t="shared" si="38"/>
        <v>0</v>
      </c>
      <c r="E191" s="6">
        <f t="shared" si="39"/>
        <v>0</v>
      </c>
      <c r="F191" s="35">
        <f t="shared" si="40"/>
        <v>0</v>
      </c>
      <c r="G191" s="35">
        <v>0</v>
      </c>
      <c r="H191" s="6">
        <f t="shared" si="35"/>
        <v>0</v>
      </c>
      <c r="I191" s="36" t="str">
        <f t="shared" si="41"/>
        <v/>
      </c>
      <c r="J191" s="37" t="s">
        <v>107</v>
      </c>
    </row>
    <row r="192" spans="1:10" ht="15" customHeight="1" x14ac:dyDescent="0.25">
      <c r="A192" s="34">
        <v>176</v>
      </c>
      <c r="B192" s="6">
        <f t="shared" si="36"/>
        <v>0</v>
      </c>
      <c r="C192" s="6">
        <f t="shared" si="37"/>
        <v>0</v>
      </c>
      <c r="D192" s="6">
        <f t="shared" si="38"/>
        <v>0</v>
      </c>
      <c r="E192" s="6">
        <f t="shared" si="39"/>
        <v>0</v>
      </c>
      <c r="F192" s="35">
        <f t="shared" si="40"/>
        <v>0</v>
      </c>
      <c r="G192" s="35">
        <v>0</v>
      </c>
      <c r="H192" s="6">
        <f t="shared" si="35"/>
        <v>0</v>
      </c>
      <c r="I192" s="36" t="str">
        <f t="shared" si="41"/>
        <v/>
      </c>
      <c r="J192" s="37" t="s">
        <v>107</v>
      </c>
    </row>
    <row r="193" spans="1:10" ht="15" customHeight="1" x14ac:dyDescent="0.25">
      <c r="A193" s="34">
        <v>177</v>
      </c>
      <c r="B193" s="6">
        <f t="shared" si="36"/>
        <v>0</v>
      </c>
      <c r="C193" s="6">
        <f t="shared" si="37"/>
        <v>0</v>
      </c>
      <c r="D193" s="6">
        <f t="shared" si="38"/>
        <v>0</v>
      </c>
      <c r="E193" s="6">
        <f t="shared" si="39"/>
        <v>0</v>
      </c>
      <c r="F193" s="35">
        <f t="shared" si="40"/>
        <v>0</v>
      </c>
      <c r="G193" s="35">
        <v>0</v>
      </c>
      <c r="H193" s="6">
        <f t="shared" si="35"/>
        <v>0</v>
      </c>
      <c r="I193" s="36" t="str">
        <f t="shared" si="41"/>
        <v/>
      </c>
      <c r="J193" s="37" t="s">
        <v>107</v>
      </c>
    </row>
    <row r="194" spans="1:10" ht="15" customHeight="1" x14ac:dyDescent="0.25">
      <c r="A194" s="34">
        <v>178</v>
      </c>
      <c r="B194" s="6">
        <f t="shared" si="36"/>
        <v>0</v>
      </c>
      <c r="C194" s="6">
        <f t="shared" si="37"/>
        <v>0</v>
      </c>
      <c r="D194" s="6">
        <f t="shared" si="38"/>
        <v>0</v>
      </c>
      <c r="E194" s="6">
        <f t="shared" si="39"/>
        <v>0</v>
      </c>
      <c r="F194" s="35">
        <f t="shared" si="40"/>
        <v>0</v>
      </c>
      <c r="G194" s="35">
        <v>0</v>
      </c>
      <c r="H194" s="6">
        <f t="shared" si="35"/>
        <v>0</v>
      </c>
      <c r="I194" s="36" t="str">
        <f t="shared" si="41"/>
        <v/>
      </c>
      <c r="J194" s="37" t="s">
        <v>107</v>
      </c>
    </row>
    <row r="195" spans="1:10" ht="15" customHeight="1" x14ac:dyDescent="0.25">
      <c r="A195" s="34">
        <v>179</v>
      </c>
      <c r="B195" s="6">
        <f t="shared" si="36"/>
        <v>0</v>
      </c>
      <c r="C195" s="6">
        <f t="shared" si="37"/>
        <v>0</v>
      </c>
      <c r="D195" s="6">
        <f t="shared" si="38"/>
        <v>0</v>
      </c>
      <c r="E195" s="6">
        <f t="shared" si="39"/>
        <v>0</v>
      </c>
      <c r="F195" s="35">
        <f t="shared" si="40"/>
        <v>0</v>
      </c>
      <c r="G195" s="35">
        <v>0</v>
      </c>
      <c r="H195" s="6">
        <f t="shared" si="35"/>
        <v>0</v>
      </c>
      <c r="I195" s="36" t="str">
        <f t="shared" si="41"/>
        <v/>
      </c>
      <c r="J195" s="37" t="s">
        <v>107</v>
      </c>
    </row>
    <row r="196" spans="1:10" ht="15" customHeight="1" x14ac:dyDescent="0.25">
      <c r="A196" s="34">
        <v>180</v>
      </c>
      <c r="B196" s="6">
        <f t="shared" si="36"/>
        <v>0</v>
      </c>
      <c r="C196" s="6">
        <f t="shared" si="37"/>
        <v>0</v>
      </c>
      <c r="D196" s="6">
        <f t="shared" si="38"/>
        <v>0</v>
      </c>
      <c r="E196" s="6">
        <f t="shared" si="39"/>
        <v>0</v>
      </c>
      <c r="F196" s="35">
        <f t="shared" si="40"/>
        <v>0</v>
      </c>
      <c r="G196" s="35">
        <v>0</v>
      </c>
      <c r="H196" s="6">
        <f t="shared" si="35"/>
        <v>0</v>
      </c>
      <c r="I196" s="36" t="str">
        <f t="shared" si="41"/>
        <v/>
      </c>
      <c r="J196" s="37" t="s">
        <v>107</v>
      </c>
    </row>
    <row r="197" spans="1:10" ht="15" customHeight="1" x14ac:dyDescent="0.25">
      <c r="A197" s="34">
        <v>181</v>
      </c>
      <c r="B197" s="6">
        <f t="shared" si="36"/>
        <v>0</v>
      </c>
      <c r="C197" s="6">
        <f t="shared" si="37"/>
        <v>0</v>
      </c>
      <c r="D197" s="6">
        <f t="shared" si="38"/>
        <v>0</v>
      </c>
      <c r="E197" s="6">
        <f t="shared" si="39"/>
        <v>0</v>
      </c>
      <c r="F197" s="35">
        <f t="shared" si="40"/>
        <v>0</v>
      </c>
      <c r="G197" s="35">
        <v>0</v>
      </c>
      <c r="H197" s="6">
        <f t="shared" si="35"/>
        <v>0</v>
      </c>
      <c r="I197" s="36" t="str">
        <f t="shared" si="41"/>
        <v/>
      </c>
      <c r="J197" s="37" t="s">
        <v>107</v>
      </c>
    </row>
    <row r="198" spans="1:10" ht="15" customHeight="1" x14ac:dyDescent="0.25">
      <c r="A198" s="34">
        <v>182</v>
      </c>
      <c r="B198" s="6">
        <f t="shared" si="36"/>
        <v>0</v>
      </c>
      <c r="C198" s="6">
        <f t="shared" si="37"/>
        <v>0</v>
      </c>
      <c r="D198" s="6">
        <f t="shared" si="38"/>
        <v>0</v>
      </c>
      <c r="E198" s="6">
        <f t="shared" si="39"/>
        <v>0</v>
      </c>
      <c r="F198" s="35">
        <f t="shared" si="40"/>
        <v>0</v>
      </c>
      <c r="G198" s="35">
        <v>0</v>
      </c>
      <c r="H198" s="6">
        <f t="shared" si="35"/>
        <v>0</v>
      </c>
      <c r="I198" s="36" t="str">
        <f t="shared" si="41"/>
        <v/>
      </c>
      <c r="J198" s="37" t="s">
        <v>107</v>
      </c>
    </row>
    <row r="199" spans="1:10" ht="15" customHeight="1" x14ac:dyDescent="0.25">
      <c r="A199" s="34">
        <v>183</v>
      </c>
      <c r="B199" s="6">
        <f t="shared" si="36"/>
        <v>0</v>
      </c>
      <c r="C199" s="6">
        <f t="shared" si="37"/>
        <v>0</v>
      </c>
      <c r="D199" s="6">
        <f t="shared" si="38"/>
        <v>0</v>
      </c>
      <c r="E199" s="6">
        <f t="shared" si="39"/>
        <v>0</v>
      </c>
      <c r="F199" s="35">
        <f t="shared" si="40"/>
        <v>0</v>
      </c>
      <c r="G199" s="35">
        <v>0</v>
      </c>
      <c r="H199" s="6">
        <f t="shared" si="35"/>
        <v>0</v>
      </c>
      <c r="I199" s="36" t="str">
        <f t="shared" si="41"/>
        <v/>
      </c>
      <c r="J199" s="37" t="s">
        <v>107</v>
      </c>
    </row>
    <row r="200" spans="1:10" ht="15" customHeight="1" x14ac:dyDescent="0.25">
      <c r="A200" s="34">
        <v>184</v>
      </c>
      <c r="B200" s="6">
        <f t="shared" si="36"/>
        <v>0</v>
      </c>
      <c r="C200" s="6">
        <f t="shared" si="37"/>
        <v>0</v>
      </c>
      <c r="D200" s="6">
        <f t="shared" si="38"/>
        <v>0</v>
      </c>
      <c r="E200" s="6">
        <f t="shared" si="39"/>
        <v>0</v>
      </c>
      <c r="F200" s="35">
        <f t="shared" si="40"/>
        <v>0</v>
      </c>
      <c r="G200" s="35">
        <v>0</v>
      </c>
      <c r="H200" s="6">
        <f t="shared" si="35"/>
        <v>0</v>
      </c>
      <c r="I200" s="36" t="str">
        <f t="shared" si="41"/>
        <v/>
      </c>
      <c r="J200" s="37" t="s">
        <v>107</v>
      </c>
    </row>
    <row r="201" spans="1:10" ht="15" customHeight="1" x14ac:dyDescent="0.25">
      <c r="A201" s="34">
        <v>185</v>
      </c>
      <c r="B201" s="6">
        <f t="shared" si="36"/>
        <v>0</v>
      </c>
      <c r="C201" s="6">
        <f t="shared" si="37"/>
        <v>0</v>
      </c>
      <c r="D201" s="6">
        <f t="shared" si="38"/>
        <v>0</v>
      </c>
      <c r="E201" s="6">
        <f t="shared" si="39"/>
        <v>0</v>
      </c>
      <c r="F201" s="35">
        <f t="shared" si="40"/>
        <v>0</v>
      </c>
      <c r="G201" s="35">
        <v>0</v>
      </c>
      <c r="H201" s="6">
        <f t="shared" si="35"/>
        <v>0</v>
      </c>
      <c r="I201" s="36" t="str">
        <f t="shared" si="41"/>
        <v/>
      </c>
      <c r="J201" s="37" t="s">
        <v>107</v>
      </c>
    </row>
    <row r="202" spans="1:10" ht="15" customHeight="1" x14ac:dyDescent="0.25">
      <c r="A202" s="34">
        <v>186</v>
      </c>
      <c r="B202" s="6">
        <f t="shared" si="36"/>
        <v>0</v>
      </c>
      <c r="C202" s="6">
        <f t="shared" si="37"/>
        <v>0</v>
      </c>
      <c r="D202" s="6">
        <f t="shared" si="38"/>
        <v>0</v>
      </c>
      <c r="E202" s="6">
        <f t="shared" si="39"/>
        <v>0</v>
      </c>
      <c r="F202" s="35">
        <f t="shared" si="40"/>
        <v>0</v>
      </c>
      <c r="G202" s="35">
        <v>0</v>
      </c>
      <c r="H202" s="6">
        <f t="shared" si="35"/>
        <v>0</v>
      </c>
      <c r="I202" s="36" t="str">
        <f t="shared" si="41"/>
        <v/>
      </c>
      <c r="J202" s="37" t="s">
        <v>107</v>
      </c>
    </row>
    <row r="203" spans="1:10" ht="15" customHeight="1" x14ac:dyDescent="0.25">
      <c r="A203" s="34">
        <v>187</v>
      </c>
      <c r="B203" s="6">
        <f t="shared" si="36"/>
        <v>0</v>
      </c>
      <c r="C203" s="6">
        <f t="shared" si="37"/>
        <v>0</v>
      </c>
      <c r="D203" s="6">
        <f t="shared" si="38"/>
        <v>0</v>
      </c>
      <c r="E203" s="6">
        <f t="shared" si="39"/>
        <v>0</v>
      </c>
      <c r="F203" s="35">
        <f t="shared" si="40"/>
        <v>0</v>
      </c>
      <c r="G203" s="35">
        <v>0</v>
      </c>
      <c r="H203" s="6">
        <f t="shared" si="35"/>
        <v>0</v>
      </c>
      <c r="I203" s="36" t="str">
        <f t="shared" si="41"/>
        <v/>
      </c>
      <c r="J203" s="37" t="s">
        <v>107</v>
      </c>
    </row>
    <row r="204" spans="1:10" ht="15" customHeight="1" x14ac:dyDescent="0.25">
      <c r="A204" s="34">
        <v>188</v>
      </c>
      <c r="B204" s="6">
        <f t="shared" si="36"/>
        <v>0</v>
      </c>
      <c r="C204" s="6">
        <f t="shared" si="37"/>
        <v>0</v>
      </c>
      <c r="D204" s="6">
        <f t="shared" si="38"/>
        <v>0</v>
      </c>
      <c r="E204" s="6">
        <f t="shared" si="39"/>
        <v>0</v>
      </c>
      <c r="F204" s="35">
        <f t="shared" si="40"/>
        <v>0</v>
      </c>
      <c r="G204" s="35">
        <v>0</v>
      </c>
      <c r="H204" s="6">
        <f t="shared" si="35"/>
        <v>0</v>
      </c>
      <c r="I204" s="36" t="str">
        <f t="shared" si="41"/>
        <v/>
      </c>
      <c r="J204" s="37" t="s">
        <v>107</v>
      </c>
    </row>
    <row r="205" spans="1:10" ht="15" customHeight="1" x14ac:dyDescent="0.25">
      <c r="A205" s="34">
        <v>189</v>
      </c>
      <c r="B205" s="6">
        <f t="shared" si="36"/>
        <v>0</v>
      </c>
      <c r="C205" s="6">
        <f t="shared" si="37"/>
        <v>0</v>
      </c>
      <c r="D205" s="6">
        <f t="shared" si="38"/>
        <v>0</v>
      </c>
      <c r="E205" s="6">
        <f t="shared" si="39"/>
        <v>0</v>
      </c>
      <c r="F205" s="35">
        <f t="shared" si="40"/>
        <v>0</v>
      </c>
      <c r="G205" s="35">
        <v>0</v>
      </c>
      <c r="H205" s="6">
        <f t="shared" si="35"/>
        <v>0</v>
      </c>
      <c r="I205" s="36" t="str">
        <f t="shared" si="41"/>
        <v/>
      </c>
      <c r="J205" s="37" t="s">
        <v>107</v>
      </c>
    </row>
    <row r="206" spans="1:10" ht="15" customHeight="1" x14ac:dyDescent="0.25">
      <c r="A206" s="34">
        <v>190</v>
      </c>
      <c r="B206" s="6">
        <f t="shared" si="36"/>
        <v>0</v>
      </c>
      <c r="C206" s="6">
        <f t="shared" si="37"/>
        <v>0</v>
      </c>
      <c r="D206" s="6">
        <f t="shared" si="38"/>
        <v>0</v>
      </c>
      <c r="E206" s="6">
        <f t="shared" si="39"/>
        <v>0</v>
      </c>
      <c r="F206" s="35">
        <f t="shared" si="40"/>
        <v>0</v>
      </c>
      <c r="G206" s="35">
        <v>0</v>
      </c>
      <c r="H206" s="6">
        <f t="shared" si="35"/>
        <v>0</v>
      </c>
      <c r="I206" s="36" t="str">
        <f t="shared" si="41"/>
        <v/>
      </c>
      <c r="J206" s="37" t="s">
        <v>107</v>
      </c>
    </row>
    <row r="207" spans="1:10" ht="15" customHeight="1" x14ac:dyDescent="0.25">
      <c r="A207" s="34">
        <v>191</v>
      </c>
      <c r="B207" s="6">
        <f t="shared" si="36"/>
        <v>0</v>
      </c>
      <c r="C207" s="6">
        <f t="shared" si="37"/>
        <v>0</v>
      </c>
      <c r="D207" s="6">
        <f t="shared" si="38"/>
        <v>0</v>
      </c>
      <c r="E207" s="6">
        <f t="shared" si="39"/>
        <v>0</v>
      </c>
      <c r="F207" s="35">
        <f t="shared" si="40"/>
        <v>0</v>
      </c>
      <c r="G207" s="35">
        <v>0</v>
      </c>
      <c r="H207" s="6">
        <f t="shared" si="35"/>
        <v>0</v>
      </c>
      <c r="I207" s="36" t="str">
        <f t="shared" si="41"/>
        <v/>
      </c>
      <c r="J207" s="37" t="s">
        <v>107</v>
      </c>
    </row>
    <row r="208" spans="1:10" ht="15" customHeight="1" x14ac:dyDescent="0.25">
      <c r="A208" s="34">
        <v>192</v>
      </c>
      <c r="B208" s="6">
        <f t="shared" si="36"/>
        <v>0</v>
      </c>
      <c r="C208" s="6">
        <f t="shared" si="37"/>
        <v>0</v>
      </c>
      <c r="D208" s="6">
        <f t="shared" si="38"/>
        <v>0</v>
      </c>
      <c r="E208" s="6">
        <f t="shared" si="39"/>
        <v>0</v>
      </c>
      <c r="F208" s="35">
        <f t="shared" si="40"/>
        <v>0</v>
      </c>
      <c r="G208" s="35">
        <v>0</v>
      </c>
      <c r="H208" s="6">
        <f t="shared" si="35"/>
        <v>0</v>
      </c>
      <c r="I208" s="36" t="str">
        <f t="shared" si="41"/>
        <v/>
      </c>
      <c r="J208" s="37" t="s">
        <v>107</v>
      </c>
    </row>
    <row r="209" spans="1:10" ht="15" customHeight="1" x14ac:dyDescent="0.25">
      <c r="A209" s="34">
        <v>193</v>
      </c>
      <c r="B209" s="6">
        <f t="shared" si="36"/>
        <v>0</v>
      </c>
      <c r="C209" s="6">
        <f t="shared" si="37"/>
        <v>0</v>
      </c>
      <c r="D209" s="6">
        <f t="shared" si="38"/>
        <v>0</v>
      </c>
      <c r="E209" s="6">
        <f t="shared" si="39"/>
        <v>0</v>
      </c>
      <c r="F209" s="35">
        <f t="shared" si="40"/>
        <v>0</v>
      </c>
      <c r="G209" s="35">
        <v>0</v>
      </c>
      <c r="H209" s="6">
        <f t="shared" ref="H209:H216" si="42">IF(B209&gt;0,B209+F209,0)</f>
        <v>0</v>
      </c>
      <c r="I209" s="36" t="str">
        <f t="shared" si="41"/>
        <v/>
      </c>
      <c r="J209" s="37" t="s">
        <v>107</v>
      </c>
    </row>
    <row r="210" spans="1:10" ht="15" customHeight="1" x14ac:dyDescent="0.25">
      <c r="A210" s="34">
        <v>194</v>
      </c>
      <c r="B210" s="6">
        <f t="shared" ref="B210:B216" si="43">IF(E209&gt;0,MIN($E$5+G210+$H$11,E209+C210),0)</f>
        <v>0</v>
      </c>
      <c r="C210" s="6">
        <f t="shared" ref="C210:C216" si="44">IF(E209&gt;0,ROUND(E209*$E$4,2),0)</f>
        <v>0</v>
      </c>
      <c r="D210" s="6">
        <f t="shared" ref="D210:D216" si="45">IF(E209&gt;0,B210-C210,0)</f>
        <v>0</v>
      </c>
      <c r="E210" s="6">
        <f t="shared" ref="E210:E216" si="46">IF(E209&gt;0,MAX(E209-D210,0),0)</f>
        <v>0</v>
      </c>
      <c r="F210" s="35">
        <f t="shared" ref="F210:F216" si="47">IF(E209&gt;0,$H$5,0)</f>
        <v>0</v>
      </c>
      <c r="G210" s="35">
        <v>0</v>
      </c>
      <c r="H210" s="6">
        <f t="shared" si="42"/>
        <v>0</v>
      </c>
      <c r="I210" s="36" t="str">
        <f t="shared" ref="I210:I216" si="48">IF(E210&gt;0,EDATE($B$8,A210-1),"")</f>
        <v/>
      </c>
      <c r="J210" s="37" t="s">
        <v>107</v>
      </c>
    </row>
    <row r="211" spans="1:10" ht="15" customHeight="1" x14ac:dyDescent="0.25">
      <c r="A211" s="34">
        <v>195</v>
      </c>
      <c r="B211" s="6">
        <f t="shared" si="43"/>
        <v>0</v>
      </c>
      <c r="C211" s="6">
        <f t="shared" si="44"/>
        <v>0</v>
      </c>
      <c r="D211" s="6">
        <f t="shared" si="45"/>
        <v>0</v>
      </c>
      <c r="E211" s="6">
        <f t="shared" si="46"/>
        <v>0</v>
      </c>
      <c r="F211" s="35">
        <f t="shared" si="47"/>
        <v>0</v>
      </c>
      <c r="G211" s="35">
        <v>0</v>
      </c>
      <c r="H211" s="6">
        <f t="shared" si="42"/>
        <v>0</v>
      </c>
      <c r="I211" s="36" t="str">
        <f t="shared" si="48"/>
        <v/>
      </c>
      <c r="J211" s="37" t="s">
        <v>107</v>
      </c>
    </row>
    <row r="212" spans="1:10" ht="15" customHeight="1" x14ac:dyDescent="0.25">
      <c r="A212" s="34">
        <v>196</v>
      </c>
      <c r="B212" s="6">
        <f t="shared" si="43"/>
        <v>0</v>
      </c>
      <c r="C212" s="6">
        <f t="shared" si="44"/>
        <v>0</v>
      </c>
      <c r="D212" s="6">
        <f t="shared" si="45"/>
        <v>0</v>
      </c>
      <c r="E212" s="6">
        <f t="shared" si="46"/>
        <v>0</v>
      </c>
      <c r="F212" s="35">
        <f t="shared" si="47"/>
        <v>0</v>
      </c>
      <c r="G212" s="35">
        <v>0</v>
      </c>
      <c r="H212" s="6">
        <f t="shared" si="42"/>
        <v>0</v>
      </c>
      <c r="I212" s="36" t="str">
        <f t="shared" si="48"/>
        <v/>
      </c>
      <c r="J212" s="37" t="s">
        <v>107</v>
      </c>
    </row>
    <row r="213" spans="1:10" ht="15" customHeight="1" x14ac:dyDescent="0.25">
      <c r="A213" s="34">
        <v>197</v>
      </c>
      <c r="B213" s="6">
        <f t="shared" si="43"/>
        <v>0</v>
      </c>
      <c r="C213" s="6">
        <f t="shared" si="44"/>
        <v>0</v>
      </c>
      <c r="D213" s="6">
        <f t="shared" si="45"/>
        <v>0</v>
      </c>
      <c r="E213" s="6">
        <f t="shared" si="46"/>
        <v>0</v>
      </c>
      <c r="F213" s="35">
        <f t="shared" si="47"/>
        <v>0</v>
      </c>
      <c r="G213" s="35">
        <v>0</v>
      </c>
      <c r="H213" s="6">
        <f t="shared" si="42"/>
        <v>0</v>
      </c>
      <c r="I213" s="36" t="str">
        <f t="shared" si="48"/>
        <v/>
      </c>
      <c r="J213" s="37" t="s">
        <v>107</v>
      </c>
    </row>
    <row r="214" spans="1:10" ht="15" customHeight="1" x14ac:dyDescent="0.25">
      <c r="A214" s="34">
        <v>198</v>
      </c>
      <c r="B214" s="6">
        <f t="shared" si="43"/>
        <v>0</v>
      </c>
      <c r="C214" s="6">
        <f t="shared" si="44"/>
        <v>0</v>
      </c>
      <c r="D214" s="6">
        <f t="shared" si="45"/>
        <v>0</v>
      </c>
      <c r="E214" s="6">
        <f t="shared" si="46"/>
        <v>0</v>
      </c>
      <c r="F214" s="35">
        <f t="shared" si="47"/>
        <v>0</v>
      </c>
      <c r="G214" s="35">
        <v>0</v>
      </c>
      <c r="H214" s="6">
        <f t="shared" si="42"/>
        <v>0</v>
      </c>
      <c r="I214" s="36" t="str">
        <f t="shared" si="48"/>
        <v/>
      </c>
      <c r="J214" s="37" t="s">
        <v>107</v>
      </c>
    </row>
    <row r="215" spans="1:10" ht="15" customHeight="1" x14ac:dyDescent="0.25">
      <c r="A215" s="34">
        <v>199</v>
      </c>
      <c r="B215" s="6">
        <f t="shared" si="43"/>
        <v>0</v>
      </c>
      <c r="C215" s="6">
        <f t="shared" si="44"/>
        <v>0</v>
      </c>
      <c r="D215" s="6">
        <f t="shared" si="45"/>
        <v>0</v>
      </c>
      <c r="E215" s="6">
        <f t="shared" si="46"/>
        <v>0</v>
      </c>
      <c r="F215" s="35">
        <f t="shared" si="47"/>
        <v>0</v>
      </c>
      <c r="G215" s="35">
        <v>0</v>
      </c>
      <c r="H215" s="6">
        <f t="shared" si="42"/>
        <v>0</v>
      </c>
      <c r="I215" s="36" t="str">
        <f t="shared" si="48"/>
        <v/>
      </c>
      <c r="J215" s="37" t="s">
        <v>107</v>
      </c>
    </row>
    <row r="216" spans="1:10" ht="15" customHeight="1" x14ac:dyDescent="0.25">
      <c r="A216" s="34">
        <v>200</v>
      </c>
      <c r="B216" s="6">
        <f t="shared" si="43"/>
        <v>0</v>
      </c>
      <c r="C216" s="6">
        <f t="shared" si="44"/>
        <v>0</v>
      </c>
      <c r="D216" s="6">
        <f t="shared" si="45"/>
        <v>0</v>
      </c>
      <c r="E216" s="6">
        <f t="shared" si="46"/>
        <v>0</v>
      </c>
      <c r="F216" s="35">
        <f t="shared" si="47"/>
        <v>0</v>
      </c>
      <c r="G216" s="35">
        <v>0</v>
      </c>
      <c r="H216" s="6">
        <f t="shared" si="42"/>
        <v>0</v>
      </c>
      <c r="I216" s="36" t="str">
        <f t="shared" si="48"/>
        <v/>
      </c>
      <c r="J216" s="37" t="s">
        <v>107</v>
      </c>
    </row>
    <row r="217" spans="1:10" ht="15" customHeight="1" x14ac:dyDescent="0.25">
      <c r="A217" s="30" t="s">
        <v>47</v>
      </c>
      <c r="B217" s="38">
        <f>SUMIF(B17:B216,"&gt;0")</f>
        <v>55447.950000000026</v>
      </c>
      <c r="C217" s="38">
        <f>SUMIF(C17:C216,"&gt;0")</f>
        <v>25447.949999999993</v>
      </c>
      <c r="D217" s="38">
        <f>SUMIF(D17:D216,"&gt;0")</f>
        <v>30000.000000000025</v>
      </c>
      <c r="F217" s="38">
        <f>SUMIF(F17:F216,"&gt;0")</f>
        <v>2525</v>
      </c>
      <c r="G217" s="38">
        <f>SUM(G17:G216)</f>
        <v>2200</v>
      </c>
      <c r="H217" s="38">
        <f>SUMIF(H17:H216,"&gt;0")</f>
        <v>57972.950000000026</v>
      </c>
    </row>
    <row r="219" spans="1:10" ht="15" customHeight="1" x14ac:dyDescent="0.25">
      <c r="A219" s="2" t="s">
        <v>108</v>
      </c>
    </row>
    <row r="220" spans="1:10" ht="15" customHeight="1" x14ac:dyDescent="0.25">
      <c r="A220" s="1" t="s">
        <v>109</v>
      </c>
      <c r="B220" s="10">
        <f>$B$5</f>
        <v>30000</v>
      </c>
    </row>
    <row r="221" spans="1:10" ht="15" customHeight="1" x14ac:dyDescent="0.25">
      <c r="A221" s="1" t="s">
        <v>110</v>
      </c>
      <c r="B221" s="10">
        <f>C217</f>
        <v>25447.949999999993</v>
      </c>
    </row>
    <row r="222" spans="1:10" ht="15" customHeight="1" x14ac:dyDescent="0.25">
      <c r="A222" s="1" t="s">
        <v>111</v>
      </c>
      <c r="B222" s="10">
        <f>F217</f>
        <v>2525</v>
      </c>
    </row>
    <row r="223" spans="1:10" ht="15" customHeight="1" x14ac:dyDescent="0.25">
      <c r="A223" s="1" t="s">
        <v>112</v>
      </c>
      <c r="B223" s="10">
        <f>H217</f>
        <v>57972.950000000026</v>
      </c>
    </row>
    <row r="224" spans="1:10" ht="15" customHeight="1" x14ac:dyDescent="0.25">
      <c r="A224" s="1" t="s">
        <v>96</v>
      </c>
      <c r="B224" s="39">
        <f>COUNTIF(B17:B216,"&gt;0")</f>
        <v>101</v>
      </c>
    </row>
    <row r="225" spans="1:2" ht="15" customHeight="1" x14ac:dyDescent="0.25">
      <c r="A225" s="1" t="s">
        <v>113</v>
      </c>
      <c r="B225" s="33">
        <f>H217/$B$5</f>
        <v>1.9324316666666674</v>
      </c>
    </row>
    <row r="226" spans="1:2" ht="15" customHeight="1" x14ac:dyDescent="0.25">
      <c r="A226" s="1" t="s">
        <v>114</v>
      </c>
      <c r="B226" s="10">
        <f>$E$12</f>
        <v>101</v>
      </c>
    </row>
  </sheetData>
  <mergeCells count="2">
    <mergeCell ref="A1:J1"/>
    <mergeCell ref="A15:G15"/>
  </mergeCells>
  <dataValidations count="1">
    <dataValidation type="list" errorTitle="Invalid Entry" error="Please select Yes or No" sqref="J17:J216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6"/>
  <sheetViews>
    <sheetView zoomScaleNormal="100" workbookViewId="0">
      <selection activeCell="O5" sqref="O5"/>
    </sheetView>
  </sheetViews>
  <sheetFormatPr baseColWidth="10" defaultColWidth="8.7109375" defaultRowHeight="15" x14ac:dyDescent="0.25"/>
  <cols>
    <col min="1" max="1" width="22" style="1" customWidth="1"/>
    <col min="2" max="2" width="17.140625" style="1" bestFit="1" customWidth="1"/>
    <col min="3" max="3" width="12" style="1" customWidth="1"/>
    <col min="4" max="4" width="21.42578125" style="1" bestFit="1" customWidth="1"/>
    <col min="5" max="5" width="13.85546875" style="1" bestFit="1" customWidth="1"/>
    <col min="6" max="6" width="14" style="1" customWidth="1"/>
    <col min="7" max="7" width="23.28515625" style="1" bestFit="1" customWidth="1"/>
    <col min="8" max="8" width="14" style="1" customWidth="1"/>
    <col min="9" max="9" width="12" style="1" customWidth="1"/>
    <col min="10" max="10" width="8" style="1" customWidth="1"/>
  </cols>
  <sheetData>
    <row r="1" spans="1:10" ht="19.5" customHeight="1" x14ac:dyDescent="0.25">
      <c r="A1" s="44" t="s">
        <v>115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ht="15" customHeight="1" x14ac:dyDescent="0.25">
      <c r="A3" s="2" t="s">
        <v>74</v>
      </c>
    </row>
    <row r="4" spans="1:10" ht="15" customHeight="1" x14ac:dyDescent="0.25">
      <c r="A4" s="1" t="s">
        <v>75</v>
      </c>
      <c r="B4" s="26" t="s">
        <v>116</v>
      </c>
      <c r="D4" s="1" t="s">
        <v>77</v>
      </c>
      <c r="E4" s="27">
        <f>POWER(1+B6,1/12)-1</f>
        <v>5.2616942768477504E-3</v>
      </c>
      <c r="G4" s="1" t="s">
        <v>78</v>
      </c>
      <c r="H4" s="3" t="s">
        <v>117</v>
      </c>
    </row>
    <row r="5" spans="1:10" ht="15" customHeight="1" x14ac:dyDescent="0.25">
      <c r="A5" s="1" t="s">
        <v>80</v>
      </c>
      <c r="B5" s="28">
        <v>150000</v>
      </c>
      <c r="D5" s="1" t="s">
        <v>81</v>
      </c>
      <c r="E5" s="10">
        <f>IF(B6&gt;0,PMT(E4,B7,-B5),B5/B7)</f>
        <v>1291.3749910479357</v>
      </c>
      <c r="G5" s="1" t="s">
        <v>82</v>
      </c>
      <c r="H5" s="28">
        <v>150</v>
      </c>
    </row>
    <row r="6" spans="1:10" ht="15" customHeight="1" x14ac:dyDescent="0.25">
      <c r="A6" s="1" t="s">
        <v>83</v>
      </c>
      <c r="B6" s="29">
        <v>6.5000000000000002E-2</v>
      </c>
      <c r="D6" s="1" t="s">
        <v>84</v>
      </c>
      <c r="E6" s="10">
        <f>E5*B7</f>
        <v>232447.49838862845</v>
      </c>
    </row>
    <row r="7" spans="1:10" ht="15" customHeight="1" x14ac:dyDescent="0.25">
      <c r="A7" s="1" t="s">
        <v>85</v>
      </c>
      <c r="B7" s="26">
        <v>180</v>
      </c>
      <c r="D7" s="1" t="s">
        <v>86</v>
      </c>
      <c r="E7" s="10">
        <f>E6-B5</f>
        <v>82447.498388628446</v>
      </c>
    </row>
    <row r="8" spans="1:10" ht="15" customHeight="1" x14ac:dyDescent="0.25">
      <c r="A8" s="1" t="s">
        <v>87</v>
      </c>
      <c r="B8" s="26" t="s">
        <v>118</v>
      </c>
    </row>
    <row r="10" spans="1:10" ht="15" customHeight="1" x14ac:dyDescent="0.25">
      <c r="A10" s="30" t="s">
        <v>89</v>
      </c>
      <c r="D10" s="30" t="s">
        <v>90</v>
      </c>
      <c r="G10" s="30" t="s">
        <v>91</v>
      </c>
    </row>
    <row r="11" spans="1:10" ht="15" customHeight="1" x14ac:dyDescent="0.25">
      <c r="A11" s="1" t="s">
        <v>92</v>
      </c>
      <c r="B11" s="31">
        <f>COUNTIF(J17:J216,"Yes")</f>
        <v>0</v>
      </c>
      <c r="D11" s="1" t="s">
        <v>93</v>
      </c>
      <c r="E11" s="40">
        <f>EDATE(B8,COUNTIF(B17:B216,"&gt;0")-1)</f>
        <v>51105</v>
      </c>
      <c r="G11" s="1" t="s">
        <v>94</v>
      </c>
      <c r="H11" s="28">
        <v>0</v>
      </c>
    </row>
    <row r="12" spans="1:10" ht="15" customHeight="1" x14ac:dyDescent="0.25">
      <c r="A12" s="1" t="s">
        <v>95</v>
      </c>
      <c r="B12" s="32">
        <f>SUMIF(J17:J216,"Yes",H17:H216)</f>
        <v>0</v>
      </c>
      <c r="D12" s="1" t="s">
        <v>96</v>
      </c>
      <c r="E12" s="32">
        <f>COUNTIF(B17:B216,"&gt;0")</f>
        <v>180</v>
      </c>
      <c r="G12" s="1" t="s">
        <v>97</v>
      </c>
      <c r="H12" s="32">
        <f>E7-C217</f>
        <v>3.838862846896518E-2</v>
      </c>
    </row>
    <row r="13" spans="1:10" ht="15" customHeight="1" x14ac:dyDescent="0.25">
      <c r="A13" s="1" t="s">
        <v>98</v>
      </c>
      <c r="B13" s="33">
        <f>IF(COUNTIF(B17:B216,"&gt;0")&gt;0,COUNTIF(J17:J216,"Yes")/COUNTIF(B17:B216,"&gt;0"),0)</f>
        <v>0</v>
      </c>
      <c r="D13" s="1" t="s">
        <v>99</v>
      </c>
      <c r="E13" s="10">
        <f>IF(COUNTIF(J17:J216,"Yes")&gt;0,INDEX(E17:E216,COUNTIF(J17:J216,"Yes")),B5)</f>
        <v>150000</v>
      </c>
    </row>
    <row r="14" spans="1:10" ht="15" customHeight="1" x14ac:dyDescent="0.25">
      <c r="B14" s="33"/>
      <c r="E14" s="10"/>
    </row>
    <row r="15" spans="1:10" ht="15" customHeight="1" x14ac:dyDescent="0.25">
      <c r="A15" s="45" t="s">
        <v>100</v>
      </c>
      <c r="B15" s="45"/>
      <c r="C15" s="45"/>
      <c r="D15" s="45"/>
      <c r="E15" s="45"/>
      <c r="F15" s="45"/>
      <c r="G15" s="45"/>
    </row>
    <row r="16" spans="1:10" ht="15" customHeight="1" x14ac:dyDescent="0.25">
      <c r="A16" s="4" t="s">
        <v>101</v>
      </c>
      <c r="B16" s="4" t="s">
        <v>39</v>
      </c>
      <c r="C16" s="4" t="s">
        <v>102</v>
      </c>
      <c r="D16" s="4" t="s">
        <v>37</v>
      </c>
      <c r="E16" s="4" t="s">
        <v>59</v>
      </c>
      <c r="F16" s="4" t="s">
        <v>40</v>
      </c>
      <c r="G16" s="4" t="s">
        <v>103</v>
      </c>
      <c r="H16" s="4" t="s">
        <v>104</v>
      </c>
      <c r="I16" s="4" t="s">
        <v>105</v>
      </c>
      <c r="J16" s="4" t="s">
        <v>106</v>
      </c>
    </row>
    <row r="17" spans="1:10" ht="15" customHeight="1" x14ac:dyDescent="0.25">
      <c r="A17" s="34">
        <v>1</v>
      </c>
      <c r="B17" s="6">
        <f>IF($B$5&gt;0,MIN($E$5+G17+$H$11,$B$5+C17),0)</f>
        <v>1291.3749910479357</v>
      </c>
      <c r="C17" s="6">
        <f>IF($B$5&gt;0,ROUND($B$5*$E$4,2),0)</f>
        <v>789.25</v>
      </c>
      <c r="D17" s="6">
        <f>IF($B$5&gt;0,B17-C17,0)</f>
        <v>502.12499104793574</v>
      </c>
      <c r="E17" s="6">
        <f>IF($B$5&gt;0,MAX($B$5-D17,0),0)</f>
        <v>149497.87500895208</v>
      </c>
      <c r="F17" s="35">
        <f>IF($B$5&gt;0,$H$5,0)</f>
        <v>150</v>
      </c>
      <c r="G17" s="35">
        <v>0</v>
      </c>
      <c r="H17" s="6">
        <f t="shared" ref="H17:H48" si="0">IF(B17&gt;0,B17+F17,0)</f>
        <v>1441.3749910479357</v>
      </c>
      <c r="I17" s="36" t="str">
        <f>$B$8</f>
        <v>2025-01-01</v>
      </c>
      <c r="J17" s="37" t="s">
        <v>107</v>
      </c>
    </row>
    <row r="18" spans="1:10" ht="15" customHeight="1" x14ac:dyDescent="0.25">
      <c r="A18" s="34">
        <v>2</v>
      </c>
      <c r="B18" s="6">
        <f t="shared" ref="B18:B49" si="1">IF(E17&gt;0,MIN($E$5+G18+$H$11,E17+C18),0)</f>
        <v>1291.3749910479357</v>
      </c>
      <c r="C18" s="6">
        <f t="shared" ref="C18:C49" si="2">IF(E17&gt;0,ROUND(E17*$E$4,2),0)</f>
        <v>786.61</v>
      </c>
      <c r="D18" s="6">
        <f t="shared" ref="D18:D49" si="3">IF(E17&gt;0,B18-C18,0)</f>
        <v>504.76499104793572</v>
      </c>
      <c r="E18" s="6">
        <f t="shared" ref="E18:E49" si="4">IF(E17&gt;0,MAX(E17-D18,0),0)</f>
        <v>148993.11001790414</v>
      </c>
      <c r="F18" s="35">
        <f t="shared" ref="F18:F49" si="5">IF(E17&gt;0,$H$5,0)</f>
        <v>150</v>
      </c>
      <c r="G18" s="35">
        <v>0</v>
      </c>
      <c r="H18" s="6">
        <f t="shared" si="0"/>
        <v>1441.3749910479357</v>
      </c>
      <c r="I18" s="36">
        <f t="shared" ref="I18:I49" si="6">IF(E18&gt;0,EDATE($B$8,A18-1),"")</f>
        <v>45689</v>
      </c>
      <c r="J18" s="37" t="s">
        <v>107</v>
      </c>
    </row>
    <row r="19" spans="1:10" ht="15" customHeight="1" x14ac:dyDescent="0.25">
      <c r="A19" s="34">
        <v>3</v>
      </c>
      <c r="B19" s="6">
        <f t="shared" si="1"/>
        <v>1291.3749910479357</v>
      </c>
      <c r="C19" s="6">
        <f t="shared" si="2"/>
        <v>783.96</v>
      </c>
      <c r="D19" s="6">
        <f t="shared" si="3"/>
        <v>507.4149910479357</v>
      </c>
      <c r="E19" s="6">
        <f t="shared" si="4"/>
        <v>148485.69502685621</v>
      </c>
      <c r="F19" s="35">
        <f t="shared" si="5"/>
        <v>150</v>
      </c>
      <c r="G19" s="35">
        <v>0</v>
      </c>
      <c r="H19" s="6">
        <f t="shared" si="0"/>
        <v>1441.3749910479357</v>
      </c>
      <c r="I19" s="36">
        <f t="shared" si="6"/>
        <v>45717</v>
      </c>
      <c r="J19" s="37" t="s">
        <v>107</v>
      </c>
    </row>
    <row r="20" spans="1:10" ht="15" customHeight="1" x14ac:dyDescent="0.25">
      <c r="A20" s="34">
        <v>4</v>
      </c>
      <c r="B20" s="6">
        <f t="shared" si="1"/>
        <v>1291.3749910479357</v>
      </c>
      <c r="C20" s="6">
        <f t="shared" si="2"/>
        <v>781.29</v>
      </c>
      <c r="D20" s="6">
        <f t="shared" si="3"/>
        <v>510.08499104793577</v>
      </c>
      <c r="E20" s="6">
        <f t="shared" si="4"/>
        <v>147975.61003580826</v>
      </c>
      <c r="F20" s="35">
        <f t="shared" si="5"/>
        <v>150</v>
      </c>
      <c r="G20" s="35">
        <v>0</v>
      </c>
      <c r="H20" s="6">
        <f t="shared" si="0"/>
        <v>1441.3749910479357</v>
      </c>
      <c r="I20" s="36">
        <f t="shared" si="6"/>
        <v>45748</v>
      </c>
      <c r="J20" s="37" t="s">
        <v>107</v>
      </c>
    </row>
    <row r="21" spans="1:10" ht="15" customHeight="1" x14ac:dyDescent="0.25">
      <c r="A21" s="34">
        <v>5</v>
      </c>
      <c r="B21" s="6">
        <f t="shared" si="1"/>
        <v>1291.3749910479357</v>
      </c>
      <c r="C21" s="6">
        <f t="shared" si="2"/>
        <v>778.6</v>
      </c>
      <c r="D21" s="6">
        <f t="shared" si="3"/>
        <v>512.77499104793571</v>
      </c>
      <c r="E21" s="6">
        <f t="shared" si="4"/>
        <v>147462.83504476032</v>
      </c>
      <c r="F21" s="35">
        <f t="shared" si="5"/>
        <v>150</v>
      </c>
      <c r="G21" s="35">
        <v>0</v>
      </c>
      <c r="H21" s="6">
        <f t="shared" si="0"/>
        <v>1441.3749910479357</v>
      </c>
      <c r="I21" s="36">
        <f t="shared" si="6"/>
        <v>45778</v>
      </c>
      <c r="J21" s="37" t="s">
        <v>107</v>
      </c>
    </row>
    <row r="22" spans="1:10" ht="15" customHeight="1" x14ac:dyDescent="0.25">
      <c r="A22" s="34">
        <v>6</v>
      </c>
      <c r="B22" s="6">
        <f t="shared" si="1"/>
        <v>1291.3749910479357</v>
      </c>
      <c r="C22" s="6">
        <f t="shared" si="2"/>
        <v>775.9</v>
      </c>
      <c r="D22" s="6">
        <f t="shared" si="3"/>
        <v>515.47499104793576</v>
      </c>
      <c r="E22" s="6">
        <f t="shared" si="4"/>
        <v>146947.36005371239</v>
      </c>
      <c r="F22" s="35">
        <f t="shared" si="5"/>
        <v>150</v>
      </c>
      <c r="G22" s="35">
        <v>0</v>
      </c>
      <c r="H22" s="6">
        <f t="shared" si="0"/>
        <v>1441.3749910479357</v>
      </c>
      <c r="I22" s="36">
        <f t="shared" si="6"/>
        <v>45809</v>
      </c>
      <c r="J22" s="37" t="s">
        <v>107</v>
      </c>
    </row>
    <row r="23" spans="1:10" ht="15" customHeight="1" x14ac:dyDescent="0.25">
      <c r="A23" s="34">
        <v>7</v>
      </c>
      <c r="B23" s="6">
        <f t="shared" si="1"/>
        <v>1291.3749910479357</v>
      </c>
      <c r="C23" s="6">
        <f t="shared" si="2"/>
        <v>773.19</v>
      </c>
      <c r="D23" s="6">
        <f t="shared" si="3"/>
        <v>518.18499104793568</v>
      </c>
      <c r="E23" s="6">
        <f t="shared" si="4"/>
        <v>146429.17506266446</v>
      </c>
      <c r="F23" s="35">
        <f t="shared" si="5"/>
        <v>150</v>
      </c>
      <c r="G23" s="35">
        <v>0</v>
      </c>
      <c r="H23" s="6">
        <f t="shared" si="0"/>
        <v>1441.3749910479357</v>
      </c>
      <c r="I23" s="36">
        <f t="shared" si="6"/>
        <v>45839</v>
      </c>
      <c r="J23" s="37" t="s">
        <v>107</v>
      </c>
    </row>
    <row r="24" spans="1:10" ht="15" customHeight="1" x14ac:dyDescent="0.25">
      <c r="A24" s="34">
        <v>8</v>
      </c>
      <c r="B24" s="6">
        <f t="shared" si="1"/>
        <v>1291.3749910479357</v>
      </c>
      <c r="C24" s="6">
        <f t="shared" si="2"/>
        <v>770.47</v>
      </c>
      <c r="D24" s="6">
        <f t="shared" si="3"/>
        <v>520.90499104793571</v>
      </c>
      <c r="E24" s="6">
        <f t="shared" si="4"/>
        <v>145908.27007161654</v>
      </c>
      <c r="F24" s="35">
        <f t="shared" si="5"/>
        <v>150</v>
      </c>
      <c r="G24" s="35">
        <v>0</v>
      </c>
      <c r="H24" s="6">
        <f t="shared" si="0"/>
        <v>1441.3749910479357</v>
      </c>
      <c r="I24" s="36">
        <f t="shared" si="6"/>
        <v>45870</v>
      </c>
      <c r="J24" s="37" t="s">
        <v>107</v>
      </c>
    </row>
    <row r="25" spans="1:10" ht="15" customHeight="1" x14ac:dyDescent="0.25">
      <c r="A25" s="34">
        <v>9</v>
      </c>
      <c r="B25" s="6">
        <f t="shared" si="1"/>
        <v>1291.3749910479357</v>
      </c>
      <c r="C25" s="6">
        <f t="shared" si="2"/>
        <v>767.72</v>
      </c>
      <c r="D25" s="6">
        <f t="shared" si="3"/>
        <v>523.65499104793571</v>
      </c>
      <c r="E25" s="6">
        <f t="shared" si="4"/>
        <v>145384.61508056862</v>
      </c>
      <c r="F25" s="35">
        <f t="shared" si="5"/>
        <v>150</v>
      </c>
      <c r="G25" s="35">
        <v>0</v>
      </c>
      <c r="H25" s="6">
        <f t="shared" si="0"/>
        <v>1441.3749910479357</v>
      </c>
      <c r="I25" s="36">
        <f t="shared" si="6"/>
        <v>45901</v>
      </c>
      <c r="J25" s="37" t="s">
        <v>107</v>
      </c>
    </row>
    <row r="26" spans="1:10" ht="15" customHeight="1" x14ac:dyDescent="0.25">
      <c r="A26" s="34">
        <v>10</v>
      </c>
      <c r="B26" s="6">
        <f t="shared" si="1"/>
        <v>1291.3749910479357</v>
      </c>
      <c r="C26" s="6">
        <f t="shared" si="2"/>
        <v>764.97</v>
      </c>
      <c r="D26" s="6">
        <f t="shared" si="3"/>
        <v>526.40499104793571</v>
      </c>
      <c r="E26" s="6">
        <f t="shared" si="4"/>
        <v>144858.2100895207</v>
      </c>
      <c r="F26" s="35">
        <f t="shared" si="5"/>
        <v>150</v>
      </c>
      <c r="G26" s="35">
        <v>0</v>
      </c>
      <c r="H26" s="6">
        <f t="shared" si="0"/>
        <v>1441.3749910479357</v>
      </c>
      <c r="I26" s="36">
        <f t="shared" si="6"/>
        <v>45931</v>
      </c>
      <c r="J26" s="37" t="s">
        <v>107</v>
      </c>
    </row>
    <row r="27" spans="1:10" ht="15" customHeight="1" x14ac:dyDescent="0.25">
      <c r="A27" s="34">
        <v>11</v>
      </c>
      <c r="B27" s="6">
        <f t="shared" si="1"/>
        <v>1291.3749910479357</v>
      </c>
      <c r="C27" s="6">
        <f t="shared" si="2"/>
        <v>762.2</v>
      </c>
      <c r="D27" s="6">
        <f t="shared" si="3"/>
        <v>529.17499104793569</v>
      </c>
      <c r="E27" s="6">
        <f t="shared" si="4"/>
        <v>144329.03509847276</v>
      </c>
      <c r="F27" s="35">
        <f t="shared" si="5"/>
        <v>150</v>
      </c>
      <c r="G27" s="35">
        <v>0</v>
      </c>
      <c r="H27" s="6">
        <f t="shared" si="0"/>
        <v>1441.3749910479357</v>
      </c>
      <c r="I27" s="36">
        <f t="shared" si="6"/>
        <v>45962</v>
      </c>
      <c r="J27" s="37" t="s">
        <v>107</v>
      </c>
    </row>
    <row r="28" spans="1:10" ht="15" customHeight="1" x14ac:dyDescent="0.25">
      <c r="A28" s="34">
        <v>12</v>
      </c>
      <c r="B28" s="6">
        <f t="shared" si="1"/>
        <v>1291.3749910479357</v>
      </c>
      <c r="C28" s="6">
        <f t="shared" si="2"/>
        <v>759.42</v>
      </c>
      <c r="D28" s="6">
        <f t="shared" si="3"/>
        <v>531.95499104793578</v>
      </c>
      <c r="E28" s="6">
        <f t="shared" si="4"/>
        <v>143797.08010742482</v>
      </c>
      <c r="F28" s="35">
        <f t="shared" si="5"/>
        <v>150</v>
      </c>
      <c r="G28" s="35">
        <v>0</v>
      </c>
      <c r="H28" s="6">
        <f t="shared" si="0"/>
        <v>1441.3749910479357</v>
      </c>
      <c r="I28" s="36">
        <f t="shared" si="6"/>
        <v>45992</v>
      </c>
      <c r="J28" s="37" t="s">
        <v>107</v>
      </c>
    </row>
    <row r="29" spans="1:10" ht="15" customHeight="1" x14ac:dyDescent="0.25">
      <c r="A29" s="34">
        <v>13</v>
      </c>
      <c r="B29" s="6">
        <f t="shared" si="1"/>
        <v>1291.3749910479357</v>
      </c>
      <c r="C29" s="6">
        <f t="shared" si="2"/>
        <v>756.62</v>
      </c>
      <c r="D29" s="6">
        <f t="shared" si="3"/>
        <v>534.75499104793573</v>
      </c>
      <c r="E29" s="6">
        <f t="shared" si="4"/>
        <v>143262.32511637689</v>
      </c>
      <c r="F29" s="35">
        <f t="shared" si="5"/>
        <v>150</v>
      </c>
      <c r="G29" s="35">
        <v>0</v>
      </c>
      <c r="H29" s="6">
        <f t="shared" si="0"/>
        <v>1441.3749910479357</v>
      </c>
      <c r="I29" s="36">
        <f t="shared" si="6"/>
        <v>46023</v>
      </c>
      <c r="J29" s="37" t="s">
        <v>107</v>
      </c>
    </row>
    <row r="30" spans="1:10" ht="15" customHeight="1" x14ac:dyDescent="0.25">
      <c r="A30" s="34">
        <v>14</v>
      </c>
      <c r="B30" s="6">
        <f t="shared" si="1"/>
        <v>1291.3749910479357</v>
      </c>
      <c r="C30" s="6">
        <f t="shared" si="2"/>
        <v>753.8</v>
      </c>
      <c r="D30" s="6">
        <f t="shared" si="3"/>
        <v>537.57499104793578</v>
      </c>
      <c r="E30" s="6">
        <f t="shared" si="4"/>
        <v>142724.75012532895</v>
      </c>
      <c r="F30" s="35">
        <f t="shared" si="5"/>
        <v>150</v>
      </c>
      <c r="G30" s="35">
        <v>0</v>
      </c>
      <c r="H30" s="6">
        <f t="shared" si="0"/>
        <v>1441.3749910479357</v>
      </c>
      <c r="I30" s="36">
        <f t="shared" si="6"/>
        <v>46054</v>
      </c>
      <c r="J30" s="37" t="s">
        <v>107</v>
      </c>
    </row>
    <row r="31" spans="1:10" ht="15" customHeight="1" x14ac:dyDescent="0.25">
      <c r="A31" s="34">
        <v>15</v>
      </c>
      <c r="B31" s="6">
        <f t="shared" si="1"/>
        <v>1291.3749910479357</v>
      </c>
      <c r="C31" s="6">
        <f t="shared" si="2"/>
        <v>750.97</v>
      </c>
      <c r="D31" s="6">
        <f t="shared" si="3"/>
        <v>540.40499104793571</v>
      </c>
      <c r="E31" s="6">
        <f t="shared" si="4"/>
        <v>142184.34513428103</v>
      </c>
      <c r="F31" s="35">
        <f t="shared" si="5"/>
        <v>150</v>
      </c>
      <c r="G31" s="35">
        <v>0</v>
      </c>
      <c r="H31" s="6">
        <f t="shared" si="0"/>
        <v>1441.3749910479357</v>
      </c>
      <c r="I31" s="36">
        <f t="shared" si="6"/>
        <v>46082</v>
      </c>
      <c r="J31" s="37" t="s">
        <v>107</v>
      </c>
    </row>
    <row r="32" spans="1:10" ht="15" customHeight="1" x14ac:dyDescent="0.25">
      <c r="A32" s="34">
        <v>16</v>
      </c>
      <c r="B32" s="6">
        <f t="shared" si="1"/>
        <v>1291.3749910479357</v>
      </c>
      <c r="C32" s="6">
        <f t="shared" si="2"/>
        <v>748.13</v>
      </c>
      <c r="D32" s="6">
        <f t="shared" si="3"/>
        <v>543.24499104793574</v>
      </c>
      <c r="E32" s="6">
        <f t="shared" si="4"/>
        <v>141641.10014323308</v>
      </c>
      <c r="F32" s="35">
        <f t="shared" si="5"/>
        <v>150</v>
      </c>
      <c r="G32" s="35">
        <v>0</v>
      </c>
      <c r="H32" s="6">
        <f t="shared" si="0"/>
        <v>1441.3749910479357</v>
      </c>
      <c r="I32" s="36">
        <f t="shared" si="6"/>
        <v>46113</v>
      </c>
      <c r="J32" s="37" t="s">
        <v>107</v>
      </c>
    </row>
    <row r="33" spans="1:10" ht="15" customHeight="1" x14ac:dyDescent="0.25">
      <c r="A33" s="34">
        <v>17</v>
      </c>
      <c r="B33" s="6">
        <f t="shared" si="1"/>
        <v>1291.3749910479357</v>
      </c>
      <c r="C33" s="6">
        <f t="shared" si="2"/>
        <v>745.27</v>
      </c>
      <c r="D33" s="6">
        <f t="shared" si="3"/>
        <v>546.10499104793575</v>
      </c>
      <c r="E33" s="6">
        <f t="shared" si="4"/>
        <v>141094.99515218515</v>
      </c>
      <c r="F33" s="35">
        <f t="shared" si="5"/>
        <v>150</v>
      </c>
      <c r="G33" s="35">
        <v>0</v>
      </c>
      <c r="H33" s="6">
        <f t="shared" si="0"/>
        <v>1441.3749910479357</v>
      </c>
      <c r="I33" s="36">
        <f t="shared" si="6"/>
        <v>46143</v>
      </c>
      <c r="J33" s="37" t="s">
        <v>107</v>
      </c>
    </row>
    <row r="34" spans="1:10" ht="15" customHeight="1" x14ac:dyDescent="0.25">
      <c r="A34" s="34">
        <v>18</v>
      </c>
      <c r="B34" s="6">
        <f t="shared" si="1"/>
        <v>1291.3749910479357</v>
      </c>
      <c r="C34" s="6">
        <f t="shared" si="2"/>
        <v>742.4</v>
      </c>
      <c r="D34" s="6">
        <f t="shared" si="3"/>
        <v>548.97499104793576</v>
      </c>
      <c r="E34" s="6">
        <f t="shared" si="4"/>
        <v>140546.02016113722</v>
      </c>
      <c r="F34" s="35">
        <f t="shared" si="5"/>
        <v>150</v>
      </c>
      <c r="G34" s="35">
        <v>0</v>
      </c>
      <c r="H34" s="6">
        <f t="shared" si="0"/>
        <v>1441.3749910479357</v>
      </c>
      <c r="I34" s="36">
        <f t="shared" si="6"/>
        <v>46174</v>
      </c>
      <c r="J34" s="37" t="s">
        <v>107</v>
      </c>
    </row>
    <row r="35" spans="1:10" ht="15" customHeight="1" x14ac:dyDescent="0.25">
      <c r="A35" s="34">
        <v>19</v>
      </c>
      <c r="B35" s="6">
        <f t="shared" si="1"/>
        <v>1291.3749910479357</v>
      </c>
      <c r="C35" s="6">
        <f t="shared" si="2"/>
        <v>739.51</v>
      </c>
      <c r="D35" s="6">
        <f t="shared" si="3"/>
        <v>551.86499104793575</v>
      </c>
      <c r="E35" s="6">
        <f t="shared" si="4"/>
        <v>139994.15517008927</v>
      </c>
      <c r="F35" s="35">
        <f t="shared" si="5"/>
        <v>150</v>
      </c>
      <c r="G35" s="35">
        <v>0</v>
      </c>
      <c r="H35" s="6">
        <f t="shared" si="0"/>
        <v>1441.3749910479357</v>
      </c>
      <c r="I35" s="36">
        <f t="shared" si="6"/>
        <v>46204</v>
      </c>
      <c r="J35" s="37" t="s">
        <v>107</v>
      </c>
    </row>
    <row r="36" spans="1:10" ht="15" customHeight="1" x14ac:dyDescent="0.25">
      <c r="A36" s="34">
        <v>20</v>
      </c>
      <c r="B36" s="6">
        <f t="shared" si="1"/>
        <v>1291.3749910479357</v>
      </c>
      <c r="C36" s="6">
        <f t="shared" si="2"/>
        <v>736.61</v>
      </c>
      <c r="D36" s="6">
        <f t="shared" si="3"/>
        <v>554.76499104793572</v>
      </c>
      <c r="E36" s="6">
        <f t="shared" si="4"/>
        <v>139439.39017904134</v>
      </c>
      <c r="F36" s="35">
        <f t="shared" si="5"/>
        <v>150</v>
      </c>
      <c r="G36" s="35">
        <v>0</v>
      </c>
      <c r="H36" s="6">
        <f t="shared" si="0"/>
        <v>1441.3749910479357</v>
      </c>
      <c r="I36" s="36">
        <f t="shared" si="6"/>
        <v>46235</v>
      </c>
      <c r="J36" s="37" t="s">
        <v>107</v>
      </c>
    </row>
    <row r="37" spans="1:10" ht="15" customHeight="1" x14ac:dyDescent="0.25">
      <c r="A37" s="34">
        <v>21</v>
      </c>
      <c r="B37" s="6">
        <f t="shared" si="1"/>
        <v>1291.3749910479357</v>
      </c>
      <c r="C37" s="6">
        <f t="shared" si="2"/>
        <v>733.69</v>
      </c>
      <c r="D37" s="6">
        <f t="shared" si="3"/>
        <v>557.68499104793568</v>
      </c>
      <c r="E37" s="6">
        <f t="shared" si="4"/>
        <v>138881.70518799342</v>
      </c>
      <c r="F37" s="35">
        <f t="shared" si="5"/>
        <v>150</v>
      </c>
      <c r="G37" s="35">
        <v>0</v>
      </c>
      <c r="H37" s="6">
        <f t="shared" si="0"/>
        <v>1441.3749910479357</v>
      </c>
      <c r="I37" s="36">
        <f t="shared" si="6"/>
        <v>46266</v>
      </c>
      <c r="J37" s="37" t="s">
        <v>107</v>
      </c>
    </row>
    <row r="38" spans="1:10" ht="15" customHeight="1" x14ac:dyDescent="0.25">
      <c r="A38" s="34">
        <v>22</v>
      </c>
      <c r="B38" s="6">
        <f t="shared" si="1"/>
        <v>1291.3749910479357</v>
      </c>
      <c r="C38" s="6">
        <f t="shared" si="2"/>
        <v>730.75</v>
      </c>
      <c r="D38" s="6">
        <f t="shared" si="3"/>
        <v>560.62499104793574</v>
      </c>
      <c r="E38" s="6">
        <f t="shared" si="4"/>
        <v>138321.08019694549</v>
      </c>
      <c r="F38" s="35">
        <f t="shared" si="5"/>
        <v>150</v>
      </c>
      <c r="G38" s="35">
        <v>0</v>
      </c>
      <c r="H38" s="6">
        <f t="shared" si="0"/>
        <v>1441.3749910479357</v>
      </c>
      <c r="I38" s="36">
        <f t="shared" si="6"/>
        <v>46296</v>
      </c>
      <c r="J38" s="37" t="s">
        <v>107</v>
      </c>
    </row>
    <row r="39" spans="1:10" ht="15" customHeight="1" x14ac:dyDescent="0.25">
      <c r="A39" s="34">
        <v>23</v>
      </c>
      <c r="B39" s="6">
        <f t="shared" si="1"/>
        <v>1291.3749910479357</v>
      </c>
      <c r="C39" s="6">
        <f t="shared" si="2"/>
        <v>727.8</v>
      </c>
      <c r="D39" s="6">
        <f t="shared" si="3"/>
        <v>563.57499104793578</v>
      </c>
      <c r="E39" s="6">
        <f t="shared" si="4"/>
        <v>137757.50520589756</v>
      </c>
      <c r="F39" s="35">
        <f t="shared" si="5"/>
        <v>150</v>
      </c>
      <c r="G39" s="35">
        <v>0</v>
      </c>
      <c r="H39" s="6">
        <f t="shared" si="0"/>
        <v>1441.3749910479357</v>
      </c>
      <c r="I39" s="36">
        <f t="shared" si="6"/>
        <v>46327</v>
      </c>
      <c r="J39" s="37" t="s">
        <v>107</v>
      </c>
    </row>
    <row r="40" spans="1:10" ht="15" customHeight="1" x14ac:dyDescent="0.25">
      <c r="A40" s="34">
        <v>24</v>
      </c>
      <c r="B40" s="6">
        <f t="shared" si="1"/>
        <v>1291.3749910479357</v>
      </c>
      <c r="C40" s="6">
        <f t="shared" si="2"/>
        <v>724.84</v>
      </c>
      <c r="D40" s="6">
        <f t="shared" si="3"/>
        <v>566.5349910479357</v>
      </c>
      <c r="E40" s="6">
        <f t="shared" si="4"/>
        <v>137190.97021484963</v>
      </c>
      <c r="F40" s="35">
        <f t="shared" si="5"/>
        <v>150</v>
      </c>
      <c r="G40" s="35">
        <v>0</v>
      </c>
      <c r="H40" s="6">
        <f t="shared" si="0"/>
        <v>1441.3749910479357</v>
      </c>
      <c r="I40" s="36">
        <f t="shared" si="6"/>
        <v>46357</v>
      </c>
      <c r="J40" s="37" t="s">
        <v>107</v>
      </c>
    </row>
    <row r="41" spans="1:10" ht="15" customHeight="1" x14ac:dyDescent="0.25">
      <c r="A41" s="34">
        <v>25</v>
      </c>
      <c r="B41" s="6">
        <f t="shared" si="1"/>
        <v>1291.3749910479357</v>
      </c>
      <c r="C41" s="6">
        <f t="shared" si="2"/>
        <v>721.86</v>
      </c>
      <c r="D41" s="6">
        <f t="shared" si="3"/>
        <v>569.51499104793572</v>
      </c>
      <c r="E41" s="6">
        <f t="shared" si="4"/>
        <v>136621.45522380169</v>
      </c>
      <c r="F41" s="35">
        <f t="shared" si="5"/>
        <v>150</v>
      </c>
      <c r="G41" s="35">
        <v>0</v>
      </c>
      <c r="H41" s="6">
        <f t="shared" si="0"/>
        <v>1441.3749910479357</v>
      </c>
      <c r="I41" s="36">
        <f t="shared" si="6"/>
        <v>46388</v>
      </c>
      <c r="J41" s="37" t="s">
        <v>107</v>
      </c>
    </row>
    <row r="42" spans="1:10" ht="15" customHeight="1" x14ac:dyDescent="0.25">
      <c r="A42" s="34">
        <v>26</v>
      </c>
      <c r="B42" s="6">
        <f t="shared" si="1"/>
        <v>1291.3749910479357</v>
      </c>
      <c r="C42" s="6">
        <f t="shared" si="2"/>
        <v>718.86</v>
      </c>
      <c r="D42" s="6">
        <f t="shared" si="3"/>
        <v>572.51499104793572</v>
      </c>
      <c r="E42" s="6">
        <f t="shared" si="4"/>
        <v>136048.94023275375</v>
      </c>
      <c r="F42" s="35">
        <f t="shared" si="5"/>
        <v>150</v>
      </c>
      <c r="G42" s="35">
        <v>0</v>
      </c>
      <c r="H42" s="6">
        <f t="shared" si="0"/>
        <v>1441.3749910479357</v>
      </c>
      <c r="I42" s="36">
        <f t="shared" si="6"/>
        <v>46419</v>
      </c>
      <c r="J42" s="37" t="s">
        <v>107</v>
      </c>
    </row>
    <row r="43" spans="1:10" ht="15" customHeight="1" x14ac:dyDescent="0.25">
      <c r="A43" s="34">
        <v>27</v>
      </c>
      <c r="B43" s="6">
        <f t="shared" si="1"/>
        <v>1291.3749910479357</v>
      </c>
      <c r="C43" s="6">
        <f t="shared" si="2"/>
        <v>715.85</v>
      </c>
      <c r="D43" s="6">
        <f t="shared" si="3"/>
        <v>575.52499104793571</v>
      </c>
      <c r="E43" s="6">
        <f t="shared" si="4"/>
        <v>135473.41524170581</v>
      </c>
      <c r="F43" s="35">
        <f t="shared" si="5"/>
        <v>150</v>
      </c>
      <c r="G43" s="35">
        <v>0</v>
      </c>
      <c r="H43" s="6">
        <f t="shared" si="0"/>
        <v>1441.3749910479357</v>
      </c>
      <c r="I43" s="36">
        <f t="shared" si="6"/>
        <v>46447</v>
      </c>
      <c r="J43" s="37" t="s">
        <v>107</v>
      </c>
    </row>
    <row r="44" spans="1:10" ht="15" customHeight="1" x14ac:dyDescent="0.25">
      <c r="A44" s="34">
        <v>28</v>
      </c>
      <c r="B44" s="6">
        <f t="shared" si="1"/>
        <v>1291.3749910479357</v>
      </c>
      <c r="C44" s="6">
        <f t="shared" si="2"/>
        <v>712.82</v>
      </c>
      <c r="D44" s="6">
        <f t="shared" si="3"/>
        <v>578.55499104793569</v>
      </c>
      <c r="E44" s="6">
        <f t="shared" si="4"/>
        <v>134894.86025065786</v>
      </c>
      <c r="F44" s="35">
        <f t="shared" si="5"/>
        <v>150</v>
      </c>
      <c r="G44" s="35">
        <v>0</v>
      </c>
      <c r="H44" s="6">
        <f t="shared" si="0"/>
        <v>1441.3749910479357</v>
      </c>
      <c r="I44" s="36">
        <f t="shared" si="6"/>
        <v>46478</v>
      </c>
      <c r="J44" s="37" t="s">
        <v>107</v>
      </c>
    </row>
    <row r="45" spans="1:10" ht="15" customHeight="1" x14ac:dyDescent="0.25">
      <c r="A45" s="34">
        <v>29</v>
      </c>
      <c r="B45" s="6">
        <f t="shared" si="1"/>
        <v>1291.3749910479357</v>
      </c>
      <c r="C45" s="6">
        <f t="shared" si="2"/>
        <v>709.78</v>
      </c>
      <c r="D45" s="6">
        <f t="shared" si="3"/>
        <v>581.59499104793576</v>
      </c>
      <c r="E45" s="6">
        <f t="shared" si="4"/>
        <v>134313.26525960994</v>
      </c>
      <c r="F45" s="35">
        <f t="shared" si="5"/>
        <v>150</v>
      </c>
      <c r="G45" s="35">
        <v>0</v>
      </c>
      <c r="H45" s="6">
        <f t="shared" si="0"/>
        <v>1441.3749910479357</v>
      </c>
      <c r="I45" s="36">
        <f t="shared" si="6"/>
        <v>46508</v>
      </c>
      <c r="J45" s="37" t="s">
        <v>107</v>
      </c>
    </row>
    <row r="46" spans="1:10" ht="15" customHeight="1" x14ac:dyDescent="0.25">
      <c r="A46" s="34">
        <v>30</v>
      </c>
      <c r="B46" s="6">
        <f t="shared" si="1"/>
        <v>1291.3749910479357</v>
      </c>
      <c r="C46" s="6">
        <f t="shared" si="2"/>
        <v>706.72</v>
      </c>
      <c r="D46" s="6">
        <f t="shared" si="3"/>
        <v>584.65499104793571</v>
      </c>
      <c r="E46" s="6">
        <f t="shared" si="4"/>
        <v>133728.61026856201</v>
      </c>
      <c r="F46" s="35">
        <f t="shared" si="5"/>
        <v>150</v>
      </c>
      <c r="G46" s="35">
        <v>0</v>
      </c>
      <c r="H46" s="6">
        <f t="shared" si="0"/>
        <v>1441.3749910479357</v>
      </c>
      <c r="I46" s="36">
        <f t="shared" si="6"/>
        <v>46539</v>
      </c>
      <c r="J46" s="37" t="s">
        <v>107</v>
      </c>
    </row>
    <row r="47" spans="1:10" ht="15" customHeight="1" x14ac:dyDescent="0.25">
      <c r="A47" s="34">
        <v>31</v>
      </c>
      <c r="B47" s="6">
        <f t="shared" si="1"/>
        <v>1291.3749910479357</v>
      </c>
      <c r="C47" s="6">
        <f t="shared" si="2"/>
        <v>703.64</v>
      </c>
      <c r="D47" s="6">
        <f t="shared" si="3"/>
        <v>587.73499104793575</v>
      </c>
      <c r="E47" s="6">
        <f t="shared" si="4"/>
        <v>133140.87527751407</v>
      </c>
      <c r="F47" s="35">
        <f t="shared" si="5"/>
        <v>150</v>
      </c>
      <c r="G47" s="35">
        <v>0</v>
      </c>
      <c r="H47" s="6">
        <f t="shared" si="0"/>
        <v>1441.3749910479357</v>
      </c>
      <c r="I47" s="36">
        <f t="shared" si="6"/>
        <v>46569</v>
      </c>
      <c r="J47" s="37" t="s">
        <v>107</v>
      </c>
    </row>
    <row r="48" spans="1:10" ht="15" customHeight="1" x14ac:dyDescent="0.25">
      <c r="A48" s="34">
        <v>32</v>
      </c>
      <c r="B48" s="6">
        <f t="shared" si="1"/>
        <v>1291.3749910479357</v>
      </c>
      <c r="C48" s="6">
        <f t="shared" si="2"/>
        <v>700.55</v>
      </c>
      <c r="D48" s="6">
        <f t="shared" si="3"/>
        <v>590.82499104793578</v>
      </c>
      <c r="E48" s="6">
        <f t="shared" si="4"/>
        <v>132550.05028646614</v>
      </c>
      <c r="F48" s="35">
        <f t="shared" si="5"/>
        <v>150</v>
      </c>
      <c r="G48" s="35">
        <v>0</v>
      </c>
      <c r="H48" s="6">
        <f t="shared" si="0"/>
        <v>1441.3749910479357</v>
      </c>
      <c r="I48" s="36">
        <f t="shared" si="6"/>
        <v>46600</v>
      </c>
      <c r="J48" s="37" t="s">
        <v>107</v>
      </c>
    </row>
    <row r="49" spans="1:10" ht="15" customHeight="1" x14ac:dyDescent="0.25">
      <c r="A49" s="34">
        <v>33</v>
      </c>
      <c r="B49" s="6">
        <f t="shared" si="1"/>
        <v>1291.3749910479357</v>
      </c>
      <c r="C49" s="6">
        <f t="shared" si="2"/>
        <v>697.44</v>
      </c>
      <c r="D49" s="6">
        <f t="shared" si="3"/>
        <v>593.93499104793568</v>
      </c>
      <c r="E49" s="6">
        <f t="shared" si="4"/>
        <v>131956.11529541822</v>
      </c>
      <c r="F49" s="35">
        <f t="shared" si="5"/>
        <v>150</v>
      </c>
      <c r="G49" s="35">
        <v>0</v>
      </c>
      <c r="H49" s="6">
        <f t="shared" ref="H49:H80" si="7">IF(B49&gt;0,B49+F49,0)</f>
        <v>1441.3749910479357</v>
      </c>
      <c r="I49" s="36">
        <f t="shared" si="6"/>
        <v>46631</v>
      </c>
      <c r="J49" s="37" t="s">
        <v>107</v>
      </c>
    </row>
    <row r="50" spans="1:10" ht="15" customHeight="1" x14ac:dyDescent="0.25">
      <c r="A50" s="34">
        <v>34</v>
      </c>
      <c r="B50" s="6">
        <f t="shared" ref="B50:B81" si="8">IF(E49&gt;0,MIN($E$5+G50+$H$11,E49+C50),0)</f>
        <v>1291.3749910479357</v>
      </c>
      <c r="C50" s="6">
        <f t="shared" ref="C50:C81" si="9">IF(E49&gt;0,ROUND(E49*$E$4,2),0)</f>
        <v>694.31</v>
      </c>
      <c r="D50" s="6">
        <f t="shared" ref="D50:D81" si="10">IF(E49&gt;0,B50-C50,0)</f>
        <v>597.06499104793579</v>
      </c>
      <c r="E50" s="6">
        <f t="shared" ref="E50:E81" si="11">IF(E49&gt;0,MAX(E49-D50,0),0)</f>
        <v>131359.05030437029</v>
      </c>
      <c r="F50" s="35">
        <f t="shared" ref="F50:F81" si="12">IF(E49&gt;0,$H$5,0)</f>
        <v>150</v>
      </c>
      <c r="G50" s="35">
        <v>0</v>
      </c>
      <c r="H50" s="6">
        <f t="shared" si="7"/>
        <v>1441.3749910479357</v>
      </c>
      <c r="I50" s="36">
        <f t="shared" ref="I50:I81" si="13">IF(E50&gt;0,EDATE($B$8,A50-1),"")</f>
        <v>46661</v>
      </c>
      <c r="J50" s="37" t="s">
        <v>107</v>
      </c>
    </row>
    <row r="51" spans="1:10" ht="15" customHeight="1" x14ac:dyDescent="0.25">
      <c r="A51" s="34">
        <v>35</v>
      </c>
      <c r="B51" s="6">
        <f t="shared" si="8"/>
        <v>1291.3749910479357</v>
      </c>
      <c r="C51" s="6">
        <f t="shared" si="9"/>
        <v>691.17</v>
      </c>
      <c r="D51" s="6">
        <f t="shared" si="10"/>
        <v>600.20499104793578</v>
      </c>
      <c r="E51" s="6">
        <f t="shared" si="11"/>
        <v>130758.84531332235</v>
      </c>
      <c r="F51" s="35">
        <f t="shared" si="12"/>
        <v>150</v>
      </c>
      <c r="G51" s="35">
        <v>0</v>
      </c>
      <c r="H51" s="6">
        <f t="shared" si="7"/>
        <v>1441.3749910479357</v>
      </c>
      <c r="I51" s="36">
        <f t="shared" si="13"/>
        <v>46692</v>
      </c>
      <c r="J51" s="37" t="s">
        <v>107</v>
      </c>
    </row>
    <row r="52" spans="1:10" ht="15" customHeight="1" x14ac:dyDescent="0.25">
      <c r="A52" s="34">
        <v>36</v>
      </c>
      <c r="B52" s="6">
        <f t="shared" si="8"/>
        <v>1291.3749910479357</v>
      </c>
      <c r="C52" s="6">
        <f t="shared" si="9"/>
        <v>688.01</v>
      </c>
      <c r="D52" s="6">
        <f t="shared" si="10"/>
        <v>603.36499104793575</v>
      </c>
      <c r="E52" s="6">
        <f t="shared" si="11"/>
        <v>130155.48032227442</v>
      </c>
      <c r="F52" s="35">
        <f t="shared" si="12"/>
        <v>150</v>
      </c>
      <c r="G52" s="35">
        <v>0</v>
      </c>
      <c r="H52" s="6">
        <f t="shared" si="7"/>
        <v>1441.3749910479357</v>
      </c>
      <c r="I52" s="36">
        <f t="shared" si="13"/>
        <v>46722</v>
      </c>
      <c r="J52" s="37" t="s">
        <v>107</v>
      </c>
    </row>
    <row r="53" spans="1:10" ht="15" customHeight="1" x14ac:dyDescent="0.25">
      <c r="A53" s="34">
        <v>37</v>
      </c>
      <c r="B53" s="6">
        <f t="shared" si="8"/>
        <v>1291.3749910479357</v>
      </c>
      <c r="C53" s="6">
        <f t="shared" si="9"/>
        <v>684.84</v>
      </c>
      <c r="D53" s="6">
        <f t="shared" si="10"/>
        <v>606.5349910479357</v>
      </c>
      <c r="E53" s="6">
        <f t="shared" si="11"/>
        <v>129548.94533122648</v>
      </c>
      <c r="F53" s="35">
        <f t="shared" si="12"/>
        <v>150</v>
      </c>
      <c r="G53" s="35">
        <v>0</v>
      </c>
      <c r="H53" s="6">
        <f t="shared" si="7"/>
        <v>1441.3749910479357</v>
      </c>
      <c r="I53" s="36">
        <f t="shared" si="13"/>
        <v>46753</v>
      </c>
      <c r="J53" s="37" t="s">
        <v>107</v>
      </c>
    </row>
    <row r="54" spans="1:10" ht="15" customHeight="1" x14ac:dyDescent="0.25">
      <c r="A54" s="34">
        <v>38</v>
      </c>
      <c r="B54" s="6">
        <f t="shared" si="8"/>
        <v>1291.3749910479357</v>
      </c>
      <c r="C54" s="6">
        <f t="shared" si="9"/>
        <v>681.65</v>
      </c>
      <c r="D54" s="6">
        <f t="shared" si="10"/>
        <v>609.72499104793576</v>
      </c>
      <c r="E54" s="6">
        <f t="shared" si="11"/>
        <v>128939.22034017855</v>
      </c>
      <c r="F54" s="35">
        <f t="shared" si="12"/>
        <v>150</v>
      </c>
      <c r="G54" s="35">
        <v>0</v>
      </c>
      <c r="H54" s="6">
        <f t="shared" si="7"/>
        <v>1441.3749910479357</v>
      </c>
      <c r="I54" s="36">
        <f t="shared" si="13"/>
        <v>46784</v>
      </c>
      <c r="J54" s="37" t="s">
        <v>107</v>
      </c>
    </row>
    <row r="55" spans="1:10" ht="15" customHeight="1" x14ac:dyDescent="0.25">
      <c r="A55" s="34">
        <v>39</v>
      </c>
      <c r="B55" s="6">
        <f t="shared" si="8"/>
        <v>1291.3749910479357</v>
      </c>
      <c r="C55" s="6">
        <f t="shared" si="9"/>
        <v>678.44</v>
      </c>
      <c r="D55" s="6">
        <f t="shared" si="10"/>
        <v>612.93499104793568</v>
      </c>
      <c r="E55" s="6">
        <f t="shared" si="11"/>
        <v>128326.28534913062</v>
      </c>
      <c r="F55" s="35">
        <f t="shared" si="12"/>
        <v>150</v>
      </c>
      <c r="G55" s="35">
        <v>0</v>
      </c>
      <c r="H55" s="6">
        <f t="shared" si="7"/>
        <v>1441.3749910479357</v>
      </c>
      <c r="I55" s="36">
        <f t="shared" si="13"/>
        <v>46813</v>
      </c>
      <c r="J55" s="37" t="s">
        <v>107</v>
      </c>
    </row>
    <row r="56" spans="1:10" ht="15" customHeight="1" x14ac:dyDescent="0.25">
      <c r="A56" s="34">
        <v>40</v>
      </c>
      <c r="B56" s="6">
        <f t="shared" si="8"/>
        <v>1291.3749910479357</v>
      </c>
      <c r="C56" s="6">
        <f t="shared" si="9"/>
        <v>675.21</v>
      </c>
      <c r="D56" s="6">
        <f t="shared" si="10"/>
        <v>616.1649910479357</v>
      </c>
      <c r="E56" s="6">
        <f t="shared" si="11"/>
        <v>127710.12035808268</v>
      </c>
      <c r="F56" s="35">
        <f t="shared" si="12"/>
        <v>150</v>
      </c>
      <c r="G56" s="35">
        <v>0</v>
      </c>
      <c r="H56" s="6">
        <f t="shared" si="7"/>
        <v>1441.3749910479357</v>
      </c>
      <c r="I56" s="36">
        <f t="shared" si="13"/>
        <v>46844</v>
      </c>
      <c r="J56" s="37" t="s">
        <v>107</v>
      </c>
    </row>
    <row r="57" spans="1:10" ht="15" customHeight="1" x14ac:dyDescent="0.25">
      <c r="A57" s="34">
        <v>41</v>
      </c>
      <c r="B57" s="6">
        <f t="shared" si="8"/>
        <v>1291.3749910479357</v>
      </c>
      <c r="C57" s="6">
        <f t="shared" si="9"/>
        <v>671.97</v>
      </c>
      <c r="D57" s="6">
        <f t="shared" si="10"/>
        <v>619.40499104793571</v>
      </c>
      <c r="E57" s="6">
        <f t="shared" si="11"/>
        <v>127090.71536703475</v>
      </c>
      <c r="F57" s="35">
        <f t="shared" si="12"/>
        <v>150</v>
      </c>
      <c r="G57" s="35">
        <v>0</v>
      </c>
      <c r="H57" s="6">
        <f t="shared" si="7"/>
        <v>1441.3749910479357</v>
      </c>
      <c r="I57" s="36">
        <f t="shared" si="13"/>
        <v>46874</v>
      </c>
      <c r="J57" s="37" t="s">
        <v>107</v>
      </c>
    </row>
    <row r="58" spans="1:10" ht="15" customHeight="1" x14ac:dyDescent="0.25">
      <c r="A58" s="34">
        <v>42</v>
      </c>
      <c r="B58" s="6">
        <f t="shared" si="8"/>
        <v>1291.3749910479357</v>
      </c>
      <c r="C58" s="6">
        <f t="shared" si="9"/>
        <v>668.71</v>
      </c>
      <c r="D58" s="6">
        <f t="shared" si="10"/>
        <v>622.6649910479357</v>
      </c>
      <c r="E58" s="6">
        <f t="shared" si="11"/>
        <v>126468.05037598682</v>
      </c>
      <c r="F58" s="35">
        <f t="shared" si="12"/>
        <v>150</v>
      </c>
      <c r="G58" s="35">
        <v>0</v>
      </c>
      <c r="H58" s="6">
        <f t="shared" si="7"/>
        <v>1441.3749910479357</v>
      </c>
      <c r="I58" s="36">
        <f t="shared" si="13"/>
        <v>46905</v>
      </c>
      <c r="J58" s="37" t="s">
        <v>107</v>
      </c>
    </row>
    <row r="59" spans="1:10" ht="15" customHeight="1" x14ac:dyDescent="0.25">
      <c r="A59" s="34">
        <v>43</v>
      </c>
      <c r="B59" s="6">
        <f t="shared" si="8"/>
        <v>1291.3749910479357</v>
      </c>
      <c r="C59" s="6">
        <f t="shared" si="9"/>
        <v>665.44</v>
      </c>
      <c r="D59" s="6">
        <f t="shared" si="10"/>
        <v>625.93499104793568</v>
      </c>
      <c r="E59" s="6">
        <f t="shared" si="11"/>
        <v>125842.11538493888</v>
      </c>
      <c r="F59" s="35">
        <f t="shared" si="12"/>
        <v>150</v>
      </c>
      <c r="G59" s="35">
        <v>0</v>
      </c>
      <c r="H59" s="6">
        <f t="shared" si="7"/>
        <v>1441.3749910479357</v>
      </c>
      <c r="I59" s="36">
        <f t="shared" si="13"/>
        <v>46935</v>
      </c>
      <c r="J59" s="37" t="s">
        <v>107</v>
      </c>
    </row>
    <row r="60" spans="1:10" ht="15" customHeight="1" x14ac:dyDescent="0.25">
      <c r="A60" s="34">
        <v>44</v>
      </c>
      <c r="B60" s="6">
        <f t="shared" si="8"/>
        <v>1291.3749910479357</v>
      </c>
      <c r="C60" s="6">
        <f t="shared" si="9"/>
        <v>662.14</v>
      </c>
      <c r="D60" s="6">
        <f t="shared" si="10"/>
        <v>629.23499104793575</v>
      </c>
      <c r="E60" s="6">
        <f t="shared" si="11"/>
        <v>125212.88039389094</v>
      </c>
      <c r="F60" s="35">
        <f t="shared" si="12"/>
        <v>150</v>
      </c>
      <c r="G60" s="35">
        <v>0</v>
      </c>
      <c r="H60" s="6">
        <f t="shared" si="7"/>
        <v>1441.3749910479357</v>
      </c>
      <c r="I60" s="36">
        <f t="shared" si="13"/>
        <v>46966</v>
      </c>
      <c r="J60" s="37" t="s">
        <v>107</v>
      </c>
    </row>
    <row r="61" spans="1:10" ht="15" customHeight="1" x14ac:dyDescent="0.25">
      <c r="A61" s="34">
        <v>45</v>
      </c>
      <c r="B61" s="6">
        <f t="shared" si="8"/>
        <v>1291.3749910479357</v>
      </c>
      <c r="C61" s="6">
        <f t="shared" si="9"/>
        <v>658.83</v>
      </c>
      <c r="D61" s="6">
        <f t="shared" si="10"/>
        <v>632.5449910479357</v>
      </c>
      <c r="E61" s="6">
        <f t="shared" si="11"/>
        <v>124580.335402843</v>
      </c>
      <c r="F61" s="35">
        <f t="shared" si="12"/>
        <v>150</v>
      </c>
      <c r="G61" s="35">
        <v>0</v>
      </c>
      <c r="H61" s="6">
        <f t="shared" si="7"/>
        <v>1441.3749910479357</v>
      </c>
      <c r="I61" s="36">
        <f t="shared" si="13"/>
        <v>46997</v>
      </c>
      <c r="J61" s="37" t="s">
        <v>107</v>
      </c>
    </row>
    <row r="62" spans="1:10" ht="15" customHeight="1" x14ac:dyDescent="0.25">
      <c r="A62" s="34">
        <v>46</v>
      </c>
      <c r="B62" s="6">
        <f t="shared" si="8"/>
        <v>1291.3749910479357</v>
      </c>
      <c r="C62" s="6">
        <f t="shared" si="9"/>
        <v>655.5</v>
      </c>
      <c r="D62" s="6">
        <f t="shared" si="10"/>
        <v>635.87499104793574</v>
      </c>
      <c r="E62" s="6">
        <f t="shared" si="11"/>
        <v>123944.46041179507</v>
      </c>
      <c r="F62" s="35">
        <f t="shared" si="12"/>
        <v>150</v>
      </c>
      <c r="G62" s="35">
        <v>0</v>
      </c>
      <c r="H62" s="6">
        <f t="shared" si="7"/>
        <v>1441.3749910479357</v>
      </c>
      <c r="I62" s="36">
        <f t="shared" si="13"/>
        <v>47027</v>
      </c>
      <c r="J62" s="37" t="s">
        <v>107</v>
      </c>
    </row>
    <row r="63" spans="1:10" ht="15" customHeight="1" x14ac:dyDescent="0.25">
      <c r="A63" s="34">
        <v>47</v>
      </c>
      <c r="B63" s="6">
        <f t="shared" si="8"/>
        <v>1291.3749910479357</v>
      </c>
      <c r="C63" s="6">
        <f t="shared" si="9"/>
        <v>652.16</v>
      </c>
      <c r="D63" s="6">
        <f t="shared" si="10"/>
        <v>639.21499104793577</v>
      </c>
      <c r="E63" s="6">
        <f t="shared" si="11"/>
        <v>123305.24542074713</v>
      </c>
      <c r="F63" s="35">
        <f t="shared" si="12"/>
        <v>150</v>
      </c>
      <c r="G63" s="35">
        <v>0</v>
      </c>
      <c r="H63" s="6">
        <f t="shared" si="7"/>
        <v>1441.3749910479357</v>
      </c>
      <c r="I63" s="36">
        <f t="shared" si="13"/>
        <v>47058</v>
      </c>
      <c r="J63" s="37" t="s">
        <v>107</v>
      </c>
    </row>
    <row r="64" spans="1:10" ht="15" customHeight="1" x14ac:dyDescent="0.25">
      <c r="A64" s="34">
        <v>48</v>
      </c>
      <c r="B64" s="6">
        <f t="shared" si="8"/>
        <v>1291.3749910479357</v>
      </c>
      <c r="C64" s="6">
        <f t="shared" si="9"/>
        <v>648.79</v>
      </c>
      <c r="D64" s="6">
        <f t="shared" si="10"/>
        <v>642.58499104793577</v>
      </c>
      <c r="E64" s="6">
        <f t="shared" si="11"/>
        <v>122662.6604296992</v>
      </c>
      <c r="F64" s="35">
        <f t="shared" si="12"/>
        <v>150</v>
      </c>
      <c r="G64" s="35">
        <v>0</v>
      </c>
      <c r="H64" s="6">
        <f t="shared" si="7"/>
        <v>1441.3749910479357</v>
      </c>
      <c r="I64" s="36">
        <f t="shared" si="13"/>
        <v>47088</v>
      </c>
      <c r="J64" s="37" t="s">
        <v>107</v>
      </c>
    </row>
    <row r="65" spans="1:10" ht="15" customHeight="1" x14ac:dyDescent="0.25">
      <c r="A65" s="34">
        <v>49</v>
      </c>
      <c r="B65" s="6">
        <f t="shared" si="8"/>
        <v>1291.3749910479357</v>
      </c>
      <c r="C65" s="6">
        <f t="shared" si="9"/>
        <v>645.41</v>
      </c>
      <c r="D65" s="6">
        <f t="shared" si="10"/>
        <v>645.96499104793577</v>
      </c>
      <c r="E65" s="6">
        <f t="shared" si="11"/>
        <v>122016.69543865127</v>
      </c>
      <c r="F65" s="35">
        <f t="shared" si="12"/>
        <v>150</v>
      </c>
      <c r="G65" s="35">
        <v>0</v>
      </c>
      <c r="H65" s="6">
        <f t="shared" si="7"/>
        <v>1441.3749910479357</v>
      </c>
      <c r="I65" s="36">
        <f t="shared" si="13"/>
        <v>47119</v>
      </c>
      <c r="J65" s="37" t="s">
        <v>107</v>
      </c>
    </row>
    <row r="66" spans="1:10" ht="15" customHeight="1" x14ac:dyDescent="0.25">
      <c r="A66" s="34">
        <v>50</v>
      </c>
      <c r="B66" s="6">
        <f t="shared" si="8"/>
        <v>1291.3749910479357</v>
      </c>
      <c r="C66" s="6">
        <f t="shared" si="9"/>
        <v>642.01</v>
      </c>
      <c r="D66" s="6">
        <f t="shared" si="10"/>
        <v>649.36499104793575</v>
      </c>
      <c r="E66" s="6">
        <f t="shared" si="11"/>
        <v>121367.33044760334</v>
      </c>
      <c r="F66" s="35">
        <f t="shared" si="12"/>
        <v>150</v>
      </c>
      <c r="G66" s="35">
        <v>0</v>
      </c>
      <c r="H66" s="6">
        <f t="shared" si="7"/>
        <v>1441.3749910479357</v>
      </c>
      <c r="I66" s="36">
        <f t="shared" si="13"/>
        <v>47150</v>
      </c>
      <c r="J66" s="37" t="s">
        <v>107</v>
      </c>
    </row>
    <row r="67" spans="1:10" ht="15" customHeight="1" x14ac:dyDescent="0.25">
      <c r="A67" s="34">
        <v>51</v>
      </c>
      <c r="B67" s="6">
        <f t="shared" si="8"/>
        <v>1291.3749910479357</v>
      </c>
      <c r="C67" s="6">
        <f t="shared" si="9"/>
        <v>638.6</v>
      </c>
      <c r="D67" s="6">
        <f t="shared" si="10"/>
        <v>652.77499104793571</v>
      </c>
      <c r="E67" s="6">
        <f t="shared" si="11"/>
        <v>120714.5554565554</v>
      </c>
      <c r="F67" s="35">
        <f t="shared" si="12"/>
        <v>150</v>
      </c>
      <c r="G67" s="35">
        <v>0</v>
      </c>
      <c r="H67" s="6">
        <f t="shared" si="7"/>
        <v>1441.3749910479357</v>
      </c>
      <c r="I67" s="36">
        <f t="shared" si="13"/>
        <v>47178</v>
      </c>
      <c r="J67" s="37" t="s">
        <v>107</v>
      </c>
    </row>
    <row r="68" spans="1:10" ht="15" customHeight="1" x14ac:dyDescent="0.25">
      <c r="A68" s="34">
        <v>52</v>
      </c>
      <c r="B68" s="6">
        <f t="shared" si="8"/>
        <v>1291.3749910479357</v>
      </c>
      <c r="C68" s="6">
        <f t="shared" si="9"/>
        <v>635.16</v>
      </c>
      <c r="D68" s="6">
        <f t="shared" si="10"/>
        <v>656.21499104793577</v>
      </c>
      <c r="E68" s="6">
        <f t="shared" si="11"/>
        <v>120058.34046550747</v>
      </c>
      <c r="F68" s="35">
        <f t="shared" si="12"/>
        <v>150</v>
      </c>
      <c r="G68" s="35">
        <v>0</v>
      </c>
      <c r="H68" s="6">
        <f t="shared" si="7"/>
        <v>1441.3749910479357</v>
      </c>
      <c r="I68" s="36">
        <f t="shared" si="13"/>
        <v>47209</v>
      </c>
      <c r="J68" s="37" t="s">
        <v>107</v>
      </c>
    </row>
    <row r="69" spans="1:10" ht="15" customHeight="1" x14ac:dyDescent="0.25">
      <c r="A69" s="34">
        <v>53</v>
      </c>
      <c r="B69" s="6">
        <f t="shared" si="8"/>
        <v>1291.3749910479357</v>
      </c>
      <c r="C69" s="6">
        <f t="shared" si="9"/>
        <v>631.71</v>
      </c>
      <c r="D69" s="6">
        <f t="shared" si="10"/>
        <v>659.6649910479357</v>
      </c>
      <c r="E69" s="6">
        <f t="shared" si="11"/>
        <v>119398.67547445954</v>
      </c>
      <c r="F69" s="35">
        <f t="shared" si="12"/>
        <v>150</v>
      </c>
      <c r="G69" s="35">
        <v>0</v>
      </c>
      <c r="H69" s="6">
        <f t="shared" si="7"/>
        <v>1441.3749910479357</v>
      </c>
      <c r="I69" s="36">
        <f t="shared" si="13"/>
        <v>47239</v>
      </c>
      <c r="J69" s="37" t="s">
        <v>107</v>
      </c>
    </row>
    <row r="70" spans="1:10" ht="15" customHeight="1" x14ac:dyDescent="0.25">
      <c r="A70" s="34">
        <v>54</v>
      </c>
      <c r="B70" s="6">
        <f t="shared" si="8"/>
        <v>1291.3749910479357</v>
      </c>
      <c r="C70" s="6">
        <f t="shared" si="9"/>
        <v>628.24</v>
      </c>
      <c r="D70" s="6">
        <f t="shared" si="10"/>
        <v>663.13499104793573</v>
      </c>
      <c r="E70" s="6">
        <f t="shared" si="11"/>
        <v>118735.54048341161</v>
      </c>
      <c r="F70" s="35">
        <f t="shared" si="12"/>
        <v>150</v>
      </c>
      <c r="G70" s="35">
        <v>0</v>
      </c>
      <c r="H70" s="6">
        <f t="shared" si="7"/>
        <v>1441.3749910479357</v>
      </c>
      <c r="I70" s="36">
        <f t="shared" si="13"/>
        <v>47270</v>
      </c>
      <c r="J70" s="37" t="s">
        <v>107</v>
      </c>
    </row>
    <row r="71" spans="1:10" ht="15" customHeight="1" x14ac:dyDescent="0.25">
      <c r="A71" s="34">
        <v>55</v>
      </c>
      <c r="B71" s="6">
        <f t="shared" si="8"/>
        <v>1291.3749910479357</v>
      </c>
      <c r="C71" s="6">
        <f t="shared" si="9"/>
        <v>624.75</v>
      </c>
      <c r="D71" s="6">
        <f t="shared" si="10"/>
        <v>666.62499104793574</v>
      </c>
      <c r="E71" s="6">
        <f t="shared" si="11"/>
        <v>118068.91549236367</v>
      </c>
      <c r="F71" s="35">
        <f t="shared" si="12"/>
        <v>150</v>
      </c>
      <c r="G71" s="35">
        <v>0</v>
      </c>
      <c r="H71" s="6">
        <f t="shared" si="7"/>
        <v>1441.3749910479357</v>
      </c>
      <c r="I71" s="36">
        <f t="shared" si="13"/>
        <v>47300</v>
      </c>
      <c r="J71" s="37" t="s">
        <v>107</v>
      </c>
    </row>
    <row r="72" spans="1:10" ht="15" customHeight="1" x14ac:dyDescent="0.25">
      <c r="A72" s="34">
        <v>56</v>
      </c>
      <c r="B72" s="6">
        <f t="shared" si="8"/>
        <v>1291.3749910479357</v>
      </c>
      <c r="C72" s="6">
        <f t="shared" si="9"/>
        <v>621.24</v>
      </c>
      <c r="D72" s="6">
        <f t="shared" si="10"/>
        <v>670.13499104793573</v>
      </c>
      <c r="E72" s="6">
        <f t="shared" si="11"/>
        <v>117398.78050131573</v>
      </c>
      <c r="F72" s="35">
        <f t="shared" si="12"/>
        <v>150</v>
      </c>
      <c r="G72" s="35">
        <v>0</v>
      </c>
      <c r="H72" s="6">
        <f t="shared" si="7"/>
        <v>1441.3749910479357</v>
      </c>
      <c r="I72" s="36">
        <f t="shared" si="13"/>
        <v>47331</v>
      </c>
      <c r="J72" s="37" t="s">
        <v>107</v>
      </c>
    </row>
    <row r="73" spans="1:10" ht="15" customHeight="1" x14ac:dyDescent="0.25">
      <c r="A73" s="34">
        <v>57</v>
      </c>
      <c r="B73" s="6">
        <f t="shared" si="8"/>
        <v>1291.3749910479357</v>
      </c>
      <c r="C73" s="6">
        <f t="shared" si="9"/>
        <v>617.72</v>
      </c>
      <c r="D73" s="6">
        <f t="shared" si="10"/>
        <v>673.65499104793571</v>
      </c>
      <c r="E73" s="6">
        <f t="shared" si="11"/>
        <v>116725.1255102678</v>
      </c>
      <c r="F73" s="35">
        <f t="shared" si="12"/>
        <v>150</v>
      </c>
      <c r="G73" s="35">
        <v>0</v>
      </c>
      <c r="H73" s="6">
        <f t="shared" si="7"/>
        <v>1441.3749910479357</v>
      </c>
      <c r="I73" s="36">
        <f t="shared" si="13"/>
        <v>47362</v>
      </c>
      <c r="J73" s="37" t="s">
        <v>107</v>
      </c>
    </row>
    <row r="74" spans="1:10" ht="15" customHeight="1" x14ac:dyDescent="0.25">
      <c r="A74" s="34">
        <v>58</v>
      </c>
      <c r="B74" s="6">
        <f t="shared" si="8"/>
        <v>1291.3749910479357</v>
      </c>
      <c r="C74" s="6">
        <f t="shared" si="9"/>
        <v>614.16999999999996</v>
      </c>
      <c r="D74" s="6">
        <f t="shared" si="10"/>
        <v>677.20499104793578</v>
      </c>
      <c r="E74" s="6">
        <f t="shared" si="11"/>
        <v>116047.92051921986</v>
      </c>
      <c r="F74" s="35">
        <f t="shared" si="12"/>
        <v>150</v>
      </c>
      <c r="G74" s="35">
        <v>0</v>
      </c>
      <c r="H74" s="6">
        <f t="shared" si="7"/>
        <v>1441.3749910479357</v>
      </c>
      <c r="I74" s="36">
        <f t="shared" si="13"/>
        <v>47392</v>
      </c>
      <c r="J74" s="37" t="s">
        <v>107</v>
      </c>
    </row>
    <row r="75" spans="1:10" ht="15" customHeight="1" x14ac:dyDescent="0.25">
      <c r="A75" s="34">
        <v>59</v>
      </c>
      <c r="B75" s="6">
        <f t="shared" si="8"/>
        <v>1291.3749910479357</v>
      </c>
      <c r="C75" s="6">
        <f t="shared" si="9"/>
        <v>610.61</v>
      </c>
      <c r="D75" s="6">
        <f t="shared" si="10"/>
        <v>680.76499104793572</v>
      </c>
      <c r="E75" s="6">
        <f t="shared" si="11"/>
        <v>115367.15552817192</v>
      </c>
      <c r="F75" s="35">
        <f t="shared" si="12"/>
        <v>150</v>
      </c>
      <c r="G75" s="35">
        <v>0</v>
      </c>
      <c r="H75" s="6">
        <f t="shared" si="7"/>
        <v>1441.3749910479357</v>
      </c>
      <c r="I75" s="36">
        <f t="shared" si="13"/>
        <v>47423</v>
      </c>
      <c r="J75" s="37" t="s">
        <v>107</v>
      </c>
    </row>
    <row r="76" spans="1:10" ht="15" customHeight="1" x14ac:dyDescent="0.25">
      <c r="A76" s="34">
        <v>60</v>
      </c>
      <c r="B76" s="6">
        <f t="shared" si="8"/>
        <v>1291.3749910479357</v>
      </c>
      <c r="C76" s="6">
        <f t="shared" si="9"/>
        <v>607.03</v>
      </c>
      <c r="D76" s="6">
        <f t="shared" si="10"/>
        <v>684.34499104793576</v>
      </c>
      <c r="E76" s="6">
        <f t="shared" si="11"/>
        <v>114682.81053712398</v>
      </c>
      <c r="F76" s="35">
        <f t="shared" si="12"/>
        <v>150</v>
      </c>
      <c r="G76" s="35">
        <v>0</v>
      </c>
      <c r="H76" s="6">
        <f t="shared" si="7"/>
        <v>1441.3749910479357</v>
      </c>
      <c r="I76" s="36">
        <f t="shared" si="13"/>
        <v>47453</v>
      </c>
      <c r="J76" s="37" t="s">
        <v>107</v>
      </c>
    </row>
    <row r="77" spans="1:10" ht="15" customHeight="1" x14ac:dyDescent="0.25">
      <c r="A77" s="34">
        <v>61</v>
      </c>
      <c r="B77" s="6">
        <f t="shared" si="8"/>
        <v>1291.3749910479357</v>
      </c>
      <c r="C77" s="6">
        <f t="shared" si="9"/>
        <v>603.42999999999995</v>
      </c>
      <c r="D77" s="6">
        <f t="shared" si="10"/>
        <v>687.94499104793579</v>
      </c>
      <c r="E77" s="6">
        <f t="shared" si="11"/>
        <v>113994.86554607605</v>
      </c>
      <c r="F77" s="35">
        <f t="shared" si="12"/>
        <v>150</v>
      </c>
      <c r="G77" s="35">
        <v>0</v>
      </c>
      <c r="H77" s="6">
        <f t="shared" si="7"/>
        <v>1441.3749910479357</v>
      </c>
      <c r="I77" s="36">
        <f t="shared" si="13"/>
        <v>47484</v>
      </c>
      <c r="J77" s="37" t="s">
        <v>107</v>
      </c>
    </row>
    <row r="78" spans="1:10" ht="15" customHeight="1" x14ac:dyDescent="0.25">
      <c r="A78" s="34">
        <v>62</v>
      </c>
      <c r="B78" s="6">
        <f t="shared" si="8"/>
        <v>1291.3749910479357</v>
      </c>
      <c r="C78" s="6">
        <f t="shared" si="9"/>
        <v>599.80999999999995</v>
      </c>
      <c r="D78" s="6">
        <f t="shared" si="10"/>
        <v>691.56499104793579</v>
      </c>
      <c r="E78" s="6">
        <f t="shared" si="11"/>
        <v>113303.30055502811</v>
      </c>
      <c r="F78" s="35">
        <f t="shared" si="12"/>
        <v>150</v>
      </c>
      <c r="G78" s="35">
        <v>0</v>
      </c>
      <c r="H78" s="6">
        <f t="shared" si="7"/>
        <v>1441.3749910479357</v>
      </c>
      <c r="I78" s="36">
        <f t="shared" si="13"/>
        <v>47515</v>
      </c>
      <c r="J78" s="37" t="s">
        <v>107</v>
      </c>
    </row>
    <row r="79" spans="1:10" ht="15" customHeight="1" x14ac:dyDescent="0.25">
      <c r="A79" s="34">
        <v>63</v>
      </c>
      <c r="B79" s="6">
        <f t="shared" si="8"/>
        <v>1291.3749910479357</v>
      </c>
      <c r="C79" s="6">
        <f t="shared" si="9"/>
        <v>596.16999999999996</v>
      </c>
      <c r="D79" s="6">
        <f t="shared" si="10"/>
        <v>695.20499104793578</v>
      </c>
      <c r="E79" s="6">
        <f t="shared" si="11"/>
        <v>112608.09556398017</v>
      </c>
      <c r="F79" s="35">
        <f t="shared" si="12"/>
        <v>150</v>
      </c>
      <c r="G79" s="35">
        <v>0</v>
      </c>
      <c r="H79" s="6">
        <f t="shared" si="7"/>
        <v>1441.3749910479357</v>
      </c>
      <c r="I79" s="36">
        <f t="shared" si="13"/>
        <v>47543</v>
      </c>
      <c r="J79" s="37" t="s">
        <v>107</v>
      </c>
    </row>
    <row r="80" spans="1:10" ht="15" customHeight="1" x14ac:dyDescent="0.25">
      <c r="A80" s="34">
        <v>64</v>
      </c>
      <c r="B80" s="6">
        <f t="shared" si="8"/>
        <v>1291.3749910479357</v>
      </c>
      <c r="C80" s="6">
        <f t="shared" si="9"/>
        <v>592.51</v>
      </c>
      <c r="D80" s="6">
        <f t="shared" si="10"/>
        <v>698.86499104793575</v>
      </c>
      <c r="E80" s="6">
        <f t="shared" si="11"/>
        <v>111909.23057293224</v>
      </c>
      <c r="F80" s="35">
        <f t="shared" si="12"/>
        <v>150</v>
      </c>
      <c r="G80" s="35">
        <v>0</v>
      </c>
      <c r="H80" s="6">
        <f t="shared" si="7"/>
        <v>1441.3749910479357</v>
      </c>
      <c r="I80" s="36">
        <f t="shared" si="13"/>
        <v>47574</v>
      </c>
      <c r="J80" s="37" t="s">
        <v>107</v>
      </c>
    </row>
    <row r="81" spans="1:10" ht="15" customHeight="1" x14ac:dyDescent="0.25">
      <c r="A81" s="34">
        <v>65</v>
      </c>
      <c r="B81" s="6">
        <f t="shared" si="8"/>
        <v>1291.3749910479357</v>
      </c>
      <c r="C81" s="6">
        <f t="shared" si="9"/>
        <v>588.83000000000004</v>
      </c>
      <c r="D81" s="6">
        <f t="shared" si="10"/>
        <v>702.5449910479357</v>
      </c>
      <c r="E81" s="6">
        <f t="shared" si="11"/>
        <v>111206.6855818843</v>
      </c>
      <c r="F81" s="35">
        <f t="shared" si="12"/>
        <v>150</v>
      </c>
      <c r="G81" s="35">
        <v>0</v>
      </c>
      <c r="H81" s="6">
        <f t="shared" ref="H81:H112" si="14">IF(B81&gt;0,B81+F81,0)</f>
        <v>1441.3749910479357</v>
      </c>
      <c r="I81" s="36">
        <f t="shared" si="13"/>
        <v>47604</v>
      </c>
      <c r="J81" s="37" t="s">
        <v>107</v>
      </c>
    </row>
    <row r="82" spans="1:10" ht="15" customHeight="1" x14ac:dyDescent="0.25">
      <c r="A82" s="34">
        <v>66</v>
      </c>
      <c r="B82" s="6">
        <f t="shared" ref="B82:B113" si="15">IF(E81&gt;0,MIN($E$5+G82+$H$11,E81+C82),0)</f>
        <v>1291.3749910479357</v>
      </c>
      <c r="C82" s="6">
        <f t="shared" ref="C82:C113" si="16">IF(E81&gt;0,ROUND(E81*$E$4,2),0)</f>
        <v>585.14</v>
      </c>
      <c r="D82" s="6">
        <f t="shared" ref="D82:D113" si="17">IF(E81&gt;0,B82-C82,0)</f>
        <v>706.23499104793575</v>
      </c>
      <c r="E82" s="6">
        <f t="shared" ref="E82:E113" si="18">IF(E81&gt;0,MAX(E81-D82,0),0)</f>
        <v>110500.45059083636</v>
      </c>
      <c r="F82" s="35">
        <f t="shared" ref="F82:F113" si="19">IF(E81&gt;0,$H$5,0)</f>
        <v>150</v>
      </c>
      <c r="G82" s="35">
        <v>0</v>
      </c>
      <c r="H82" s="6">
        <f t="shared" si="14"/>
        <v>1441.3749910479357</v>
      </c>
      <c r="I82" s="36">
        <f t="shared" ref="I82:I113" si="20">IF(E82&gt;0,EDATE($B$8,A82-1),"")</f>
        <v>47635</v>
      </c>
      <c r="J82" s="37" t="s">
        <v>107</v>
      </c>
    </row>
    <row r="83" spans="1:10" ht="15" customHeight="1" x14ac:dyDescent="0.25">
      <c r="A83" s="34">
        <v>67</v>
      </c>
      <c r="B83" s="6">
        <f t="shared" si="15"/>
        <v>1291.3749910479357</v>
      </c>
      <c r="C83" s="6">
        <f t="shared" si="16"/>
        <v>581.41999999999996</v>
      </c>
      <c r="D83" s="6">
        <f t="shared" si="17"/>
        <v>709.95499104793578</v>
      </c>
      <c r="E83" s="6">
        <f t="shared" si="18"/>
        <v>109790.49559978842</v>
      </c>
      <c r="F83" s="35">
        <f t="shared" si="19"/>
        <v>150</v>
      </c>
      <c r="G83" s="35">
        <v>0</v>
      </c>
      <c r="H83" s="6">
        <f t="shared" si="14"/>
        <v>1441.3749910479357</v>
      </c>
      <c r="I83" s="36">
        <f t="shared" si="20"/>
        <v>47665</v>
      </c>
      <c r="J83" s="37" t="s">
        <v>107</v>
      </c>
    </row>
    <row r="84" spans="1:10" ht="15" customHeight="1" x14ac:dyDescent="0.25">
      <c r="A84" s="34">
        <v>68</v>
      </c>
      <c r="B84" s="6">
        <f t="shared" si="15"/>
        <v>1291.3749910479357</v>
      </c>
      <c r="C84" s="6">
        <f t="shared" si="16"/>
        <v>577.67999999999995</v>
      </c>
      <c r="D84" s="6">
        <f t="shared" si="17"/>
        <v>713.69499104793579</v>
      </c>
      <c r="E84" s="6">
        <f t="shared" si="18"/>
        <v>109076.80060874049</v>
      </c>
      <c r="F84" s="35">
        <f t="shared" si="19"/>
        <v>150</v>
      </c>
      <c r="G84" s="35">
        <v>0</v>
      </c>
      <c r="H84" s="6">
        <f t="shared" si="14"/>
        <v>1441.3749910479357</v>
      </c>
      <c r="I84" s="36">
        <f t="shared" si="20"/>
        <v>47696</v>
      </c>
      <c r="J84" s="37" t="s">
        <v>107</v>
      </c>
    </row>
    <row r="85" spans="1:10" ht="15" customHeight="1" x14ac:dyDescent="0.25">
      <c r="A85" s="34">
        <v>69</v>
      </c>
      <c r="B85" s="6">
        <f t="shared" si="15"/>
        <v>1291.3749910479357</v>
      </c>
      <c r="C85" s="6">
        <f t="shared" si="16"/>
        <v>573.92999999999995</v>
      </c>
      <c r="D85" s="6">
        <f t="shared" si="17"/>
        <v>717.44499104793579</v>
      </c>
      <c r="E85" s="6">
        <f t="shared" si="18"/>
        <v>108359.35561769256</v>
      </c>
      <c r="F85" s="35">
        <f t="shared" si="19"/>
        <v>150</v>
      </c>
      <c r="G85" s="35">
        <v>0</v>
      </c>
      <c r="H85" s="6">
        <f t="shared" si="14"/>
        <v>1441.3749910479357</v>
      </c>
      <c r="I85" s="36">
        <f t="shared" si="20"/>
        <v>47727</v>
      </c>
      <c r="J85" s="37" t="s">
        <v>107</v>
      </c>
    </row>
    <row r="86" spans="1:10" ht="15" customHeight="1" x14ac:dyDescent="0.25">
      <c r="A86" s="34">
        <v>70</v>
      </c>
      <c r="B86" s="6">
        <f t="shared" si="15"/>
        <v>1291.3749910479357</v>
      </c>
      <c r="C86" s="6">
        <f t="shared" si="16"/>
        <v>570.15</v>
      </c>
      <c r="D86" s="6">
        <f t="shared" si="17"/>
        <v>721.22499104793576</v>
      </c>
      <c r="E86" s="6">
        <f t="shared" si="18"/>
        <v>107638.13062664463</v>
      </c>
      <c r="F86" s="35">
        <f t="shared" si="19"/>
        <v>150</v>
      </c>
      <c r="G86" s="35">
        <v>0</v>
      </c>
      <c r="H86" s="6">
        <f t="shared" si="14"/>
        <v>1441.3749910479357</v>
      </c>
      <c r="I86" s="36">
        <f t="shared" si="20"/>
        <v>47757</v>
      </c>
      <c r="J86" s="37" t="s">
        <v>107</v>
      </c>
    </row>
    <row r="87" spans="1:10" ht="15" customHeight="1" x14ac:dyDescent="0.25">
      <c r="A87" s="34">
        <v>71</v>
      </c>
      <c r="B87" s="6">
        <f t="shared" si="15"/>
        <v>1291.3749910479357</v>
      </c>
      <c r="C87" s="6">
        <f t="shared" si="16"/>
        <v>566.36</v>
      </c>
      <c r="D87" s="6">
        <f t="shared" si="17"/>
        <v>725.01499104793572</v>
      </c>
      <c r="E87" s="6">
        <f t="shared" si="18"/>
        <v>106913.1156355967</v>
      </c>
      <c r="F87" s="35">
        <f t="shared" si="19"/>
        <v>150</v>
      </c>
      <c r="G87" s="35">
        <v>0</v>
      </c>
      <c r="H87" s="6">
        <f t="shared" si="14"/>
        <v>1441.3749910479357</v>
      </c>
      <c r="I87" s="36">
        <f t="shared" si="20"/>
        <v>47788</v>
      </c>
      <c r="J87" s="37" t="s">
        <v>107</v>
      </c>
    </row>
    <row r="88" spans="1:10" ht="15" customHeight="1" x14ac:dyDescent="0.25">
      <c r="A88" s="34">
        <v>72</v>
      </c>
      <c r="B88" s="6">
        <f t="shared" si="15"/>
        <v>1291.3749910479357</v>
      </c>
      <c r="C88" s="6">
        <f t="shared" si="16"/>
        <v>562.54</v>
      </c>
      <c r="D88" s="6">
        <f t="shared" si="17"/>
        <v>728.83499104793577</v>
      </c>
      <c r="E88" s="6">
        <f t="shared" si="18"/>
        <v>106184.28064454877</v>
      </c>
      <c r="F88" s="35">
        <f t="shared" si="19"/>
        <v>150</v>
      </c>
      <c r="G88" s="35">
        <v>0</v>
      </c>
      <c r="H88" s="6">
        <f t="shared" si="14"/>
        <v>1441.3749910479357</v>
      </c>
      <c r="I88" s="36">
        <f t="shared" si="20"/>
        <v>47818</v>
      </c>
      <c r="J88" s="37" t="s">
        <v>107</v>
      </c>
    </row>
    <row r="89" spans="1:10" ht="15" customHeight="1" x14ac:dyDescent="0.25">
      <c r="A89" s="34">
        <v>73</v>
      </c>
      <c r="B89" s="6">
        <f t="shared" si="15"/>
        <v>1291.3749910479357</v>
      </c>
      <c r="C89" s="6">
        <f t="shared" si="16"/>
        <v>558.71</v>
      </c>
      <c r="D89" s="6">
        <f t="shared" si="17"/>
        <v>732.6649910479357</v>
      </c>
      <c r="E89" s="6">
        <f t="shared" si="18"/>
        <v>105451.61565350083</v>
      </c>
      <c r="F89" s="35">
        <f t="shared" si="19"/>
        <v>150</v>
      </c>
      <c r="G89" s="35">
        <v>0</v>
      </c>
      <c r="H89" s="6">
        <f t="shared" si="14"/>
        <v>1441.3749910479357</v>
      </c>
      <c r="I89" s="36">
        <f t="shared" si="20"/>
        <v>47849</v>
      </c>
      <c r="J89" s="37" t="s">
        <v>107</v>
      </c>
    </row>
    <row r="90" spans="1:10" ht="15" customHeight="1" x14ac:dyDescent="0.25">
      <c r="A90" s="34">
        <v>74</v>
      </c>
      <c r="B90" s="6">
        <f t="shared" si="15"/>
        <v>1291.3749910479357</v>
      </c>
      <c r="C90" s="6">
        <f t="shared" si="16"/>
        <v>554.85</v>
      </c>
      <c r="D90" s="6">
        <f t="shared" si="17"/>
        <v>736.52499104793571</v>
      </c>
      <c r="E90" s="6">
        <f t="shared" si="18"/>
        <v>104715.0906624529</v>
      </c>
      <c r="F90" s="35">
        <f t="shared" si="19"/>
        <v>150</v>
      </c>
      <c r="G90" s="35">
        <v>0</v>
      </c>
      <c r="H90" s="6">
        <f t="shared" si="14"/>
        <v>1441.3749910479357</v>
      </c>
      <c r="I90" s="36">
        <f t="shared" si="20"/>
        <v>47880</v>
      </c>
      <c r="J90" s="37" t="s">
        <v>107</v>
      </c>
    </row>
    <row r="91" spans="1:10" ht="15" customHeight="1" x14ac:dyDescent="0.25">
      <c r="A91" s="34">
        <v>75</v>
      </c>
      <c r="B91" s="6">
        <f t="shared" si="15"/>
        <v>1291.3749910479357</v>
      </c>
      <c r="C91" s="6">
        <f t="shared" si="16"/>
        <v>550.98</v>
      </c>
      <c r="D91" s="6">
        <f t="shared" si="17"/>
        <v>740.39499104793572</v>
      </c>
      <c r="E91" s="6">
        <f t="shared" si="18"/>
        <v>103974.69567140496</v>
      </c>
      <c r="F91" s="35">
        <f t="shared" si="19"/>
        <v>150</v>
      </c>
      <c r="G91" s="35">
        <v>0</v>
      </c>
      <c r="H91" s="6">
        <f t="shared" si="14"/>
        <v>1441.3749910479357</v>
      </c>
      <c r="I91" s="36">
        <f t="shared" si="20"/>
        <v>47908</v>
      </c>
      <c r="J91" s="37" t="s">
        <v>107</v>
      </c>
    </row>
    <row r="92" spans="1:10" ht="15" customHeight="1" x14ac:dyDescent="0.25">
      <c r="A92" s="34">
        <v>76</v>
      </c>
      <c r="B92" s="6">
        <f t="shared" si="15"/>
        <v>1291.3749910479357</v>
      </c>
      <c r="C92" s="6">
        <f t="shared" si="16"/>
        <v>547.08000000000004</v>
      </c>
      <c r="D92" s="6">
        <f t="shared" si="17"/>
        <v>744.2949910479357</v>
      </c>
      <c r="E92" s="6">
        <f t="shared" si="18"/>
        <v>103230.40068035702</v>
      </c>
      <c r="F92" s="35">
        <f t="shared" si="19"/>
        <v>150</v>
      </c>
      <c r="G92" s="35">
        <v>0</v>
      </c>
      <c r="H92" s="6">
        <f t="shared" si="14"/>
        <v>1441.3749910479357</v>
      </c>
      <c r="I92" s="36">
        <f t="shared" si="20"/>
        <v>47939</v>
      </c>
      <c r="J92" s="37" t="s">
        <v>107</v>
      </c>
    </row>
    <row r="93" spans="1:10" ht="15" customHeight="1" x14ac:dyDescent="0.25">
      <c r="A93" s="34">
        <v>77</v>
      </c>
      <c r="B93" s="6">
        <f t="shared" si="15"/>
        <v>1291.3749910479357</v>
      </c>
      <c r="C93" s="6">
        <f t="shared" si="16"/>
        <v>543.16999999999996</v>
      </c>
      <c r="D93" s="6">
        <f t="shared" si="17"/>
        <v>748.20499104793578</v>
      </c>
      <c r="E93" s="6">
        <f t="shared" si="18"/>
        <v>102482.19568930908</v>
      </c>
      <c r="F93" s="35">
        <f t="shared" si="19"/>
        <v>150</v>
      </c>
      <c r="G93" s="35">
        <v>0</v>
      </c>
      <c r="H93" s="6">
        <f t="shared" si="14"/>
        <v>1441.3749910479357</v>
      </c>
      <c r="I93" s="36">
        <f t="shared" si="20"/>
        <v>47969</v>
      </c>
      <c r="J93" s="37" t="s">
        <v>107</v>
      </c>
    </row>
    <row r="94" spans="1:10" ht="15" customHeight="1" x14ac:dyDescent="0.25">
      <c r="A94" s="34">
        <v>78</v>
      </c>
      <c r="B94" s="6">
        <f t="shared" si="15"/>
        <v>1291.3749910479357</v>
      </c>
      <c r="C94" s="6">
        <f t="shared" si="16"/>
        <v>539.23</v>
      </c>
      <c r="D94" s="6">
        <f t="shared" si="17"/>
        <v>752.14499104793572</v>
      </c>
      <c r="E94" s="6">
        <f t="shared" si="18"/>
        <v>101730.05069826114</v>
      </c>
      <c r="F94" s="35">
        <f t="shared" si="19"/>
        <v>150</v>
      </c>
      <c r="G94" s="35">
        <v>0</v>
      </c>
      <c r="H94" s="6">
        <f t="shared" si="14"/>
        <v>1441.3749910479357</v>
      </c>
      <c r="I94" s="36">
        <f t="shared" si="20"/>
        <v>48000</v>
      </c>
      <c r="J94" s="37" t="s">
        <v>107</v>
      </c>
    </row>
    <row r="95" spans="1:10" ht="15" customHeight="1" x14ac:dyDescent="0.25">
      <c r="A95" s="34">
        <v>79</v>
      </c>
      <c r="B95" s="6">
        <f t="shared" si="15"/>
        <v>1291.3749910479357</v>
      </c>
      <c r="C95" s="6">
        <f t="shared" si="16"/>
        <v>535.27</v>
      </c>
      <c r="D95" s="6">
        <f t="shared" si="17"/>
        <v>756.10499104793575</v>
      </c>
      <c r="E95" s="6">
        <f t="shared" si="18"/>
        <v>100973.94570721321</v>
      </c>
      <c r="F95" s="35">
        <f t="shared" si="19"/>
        <v>150</v>
      </c>
      <c r="G95" s="35">
        <v>0</v>
      </c>
      <c r="H95" s="6">
        <f t="shared" si="14"/>
        <v>1441.3749910479357</v>
      </c>
      <c r="I95" s="36">
        <f t="shared" si="20"/>
        <v>48030</v>
      </c>
      <c r="J95" s="37" t="s">
        <v>107</v>
      </c>
    </row>
    <row r="96" spans="1:10" ht="15" customHeight="1" x14ac:dyDescent="0.25">
      <c r="A96" s="34">
        <v>80</v>
      </c>
      <c r="B96" s="6">
        <f t="shared" si="15"/>
        <v>1291.3749910479357</v>
      </c>
      <c r="C96" s="6">
        <f t="shared" si="16"/>
        <v>531.29</v>
      </c>
      <c r="D96" s="6">
        <f t="shared" si="17"/>
        <v>760.08499104793577</v>
      </c>
      <c r="E96" s="6">
        <f t="shared" si="18"/>
        <v>100213.86071616528</v>
      </c>
      <c r="F96" s="35">
        <f t="shared" si="19"/>
        <v>150</v>
      </c>
      <c r="G96" s="35">
        <v>0</v>
      </c>
      <c r="H96" s="6">
        <f t="shared" si="14"/>
        <v>1441.3749910479357</v>
      </c>
      <c r="I96" s="36">
        <f t="shared" si="20"/>
        <v>48061</v>
      </c>
      <c r="J96" s="37" t="s">
        <v>107</v>
      </c>
    </row>
    <row r="97" spans="1:10" ht="15" customHeight="1" x14ac:dyDescent="0.25">
      <c r="A97" s="34">
        <v>81</v>
      </c>
      <c r="B97" s="6">
        <f t="shared" si="15"/>
        <v>1291.3749910479357</v>
      </c>
      <c r="C97" s="6">
        <f t="shared" si="16"/>
        <v>527.29</v>
      </c>
      <c r="D97" s="6">
        <f t="shared" si="17"/>
        <v>764.08499104793577</v>
      </c>
      <c r="E97" s="6">
        <f t="shared" si="18"/>
        <v>99449.775725117346</v>
      </c>
      <c r="F97" s="35">
        <f t="shared" si="19"/>
        <v>150</v>
      </c>
      <c r="G97" s="35">
        <v>0</v>
      </c>
      <c r="H97" s="6">
        <f t="shared" si="14"/>
        <v>1441.3749910479357</v>
      </c>
      <c r="I97" s="36">
        <f t="shared" si="20"/>
        <v>48092</v>
      </c>
      <c r="J97" s="37" t="s">
        <v>107</v>
      </c>
    </row>
    <row r="98" spans="1:10" ht="15" customHeight="1" x14ac:dyDescent="0.25">
      <c r="A98" s="34">
        <v>82</v>
      </c>
      <c r="B98" s="6">
        <f t="shared" si="15"/>
        <v>1291.3749910479357</v>
      </c>
      <c r="C98" s="6">
        <f t="shared" si="16"/>
        <v>523.27</v>
      </c>
      <c r="D98" s="6">
        <f t="shared" si="17"/>
        <v>768.10499104793575</v>
      </c>
      <c r="E98" s="6">
        <f t="shared" si="18"/>
        <v>98681.670734069412</v>
      </c>
      <c r="F98" s="35">
        <f t="shared" si="19"/>
        <v>150</v>
      </c>
      <c r="G98" s="35">
        <v>0</v>
      </c>
      <c r="H98" s="6">
        <f t="shared" si="14"/>
        <v>1441.3749910479357</v>
      </c>
      <c r="I98" s="36">
        <f t="shared" si="20"/>
        <v>48122</v>
      </c>
      <c r="J98" s="37" t="s">
        <v>107</v>
      </c>
    </row>
    <row r="99" spans="1:10" ht="15" customHeight="1" x14ac:dyDescent="0.25">
      <c r="A99" s="34">
        <v>83</v>
      </c>
      <c r="B99" s="6">
        <f t="shared" si="15"/>
        <v>1291.3749910479357</v>
      </c>
      <c r="C99" s="6">
        <f t="shared" si="16"/>
        <v>519.23</v>
      </c>
      <c r="D99" s="6">
        <f t="shared" si="17"/>
        <v>772.14499104793572</v>
      </c>
      <c r="E99" s="6">
        <f t="shared" si="18"/>
        <v>97909.52574302147</v>
      </c>
      <c r="F99" s="35">
        <f t="shared" si="19"/>
        <v>150</v>
      </c>
      <c r="G99" s="35">
        <v>0</v>
      </c>
      <c r="H99" s="6">
        <f t="shared" si="14"/>
        <v>1441.3749910479357</v>
      </c>
      <c r="I99" s="36">
        <f t="shared" si="20"/>
        <v>48153</v>
      </c>
      <c r="J99" s="37" t="s">
        <v>107</v>
      </c>
    </row>
    <row r="100" spans="1:10" ht="15" customHeight="1" x14ac:dyDescent="0.25">
      <c r="A100" s="34">
        <v>84</v>
      </c>
      <c r="B100" s="6">
        <f t="shared" si="15"/>
        <v>1291.3749910479357</v>
      </c>
      <c r="C100" s="6">
        <f t="shared" si="16"/>
        <v>515.16999999999996</v>
      </c>
      <c r="D100" s="6">
        <f t="shared" si="17"/>
        <v>776.20499104793578</v>
      </c>
      <c r="E100" s="6">
        <f t="shared" si="18"/>
        <v>97133.32075197353</v>
      </c>
      <c r="F100" s="35">
        <f t="shared" si="19"/>
        <v>150</v>
      </c>
      <c r="G100" s="35">
        <v>0</v>
      </c>
      <c r="H100" s="6">
        <f t="shared" si="14"/>
        <v>1441.3749910479357</v>
      </c>
      <c r="I100" s="36">
        <f t="shared" si="20"/>
        <v>48183</v>
      </c>
      <c r="J100" s="37" t="s">
        <v>107</v>
      </c>
    </row>
    <row r="101" spans="1:10" ht="15" customHeight="1" x14ac:dyDescent="0.25">
      <c r="A101" s="34">
        <v>85</v>
      </c>
      <c r="B101" s="6">
        <f t="shared" si="15"/>
        <v>1291.3749910479357</v>
      </c>
      <c r="C101" s="6">
        <f t="shared" si="16"/>
        <v>511.09</v>
      </c>
      <c r="D101" s="6">
        <f t="shared" si="17"/>
        <v>780.28499104793582</v>
      </c>
      <c r="E101" s="6">
        <f t="shared" si="18"/>
        <v>96353.035760925588</v>
      </c>
      <c r="F101" s="35">
        <f t="shared" si="19"/>
        <v>150</v>
      </c>
      <c r="G101" s="35">
        <v>0</v>
      </c>
      <c r="H101" s="6">
        <f t="shared" si="14"/>
        <v>1441.3749910479357</v>
      </c>
      <c r="I101" s="36">
        <f t="shared" si="20"/>
        <v>48214</v>
      </c>
      <c r="J101" s="37" t="s">
        <v>107</v>
      </c>
    </row>
    <row r="102" spans="1:10" ht="15" customHeight="1" x14ac:dyDescent="0.25">
      <c r="A102" s="34">
        <v>86</v>
      </c>
      <c r="B102" s="6">
        <f t="shared" si="15"/>
        <v>1291.3749910479357</v>
      </c>
      <c r="C102" s="6">
        <f t="shared" si="16"/>
        <v>506.98</v>
      </c>
      <c r="D102" s="6">
        <f t="shared" si="17"/>
        <v>784.39499104793572</v>
      </c>
      <c r="E102" s="6">
        <f t="shared" si="18"/>
        <v>95568.640769877646</v>
      </c>
      <c r="F102" s="35">
        <f t="shared" si="19"/>
        <v>150</v>
      </c>
      <c r="G102" s="35">
        <v>0</v>
      </c>
      <c r="H102" s="6">
        <f t="shared" si="14"/>
        <v>1441.3749910479357</v>
      </c>
      <c r="I102" s="36">
        <f t="shared" si="20"/>
        <v>48245</v>
      </c>
      <c r="J102" s="37" t="s">
        <v>107</v>
      </c>
    </row>
    <row r="103" spans="1:10" ht="15" customHeight="1" x14ac:dyDescent="0.25">
      <c r="A103" s="34">
        <v>87</v>
      </c>
      <c r="B103" s="6">
        <f t="shared" si="15"/>
        <v>1291.3749910479357</v>
      </c>
      <c r="C103" s="6">
        <f t="shared" si="16"/>
        <v>502.85</v>
      </c>
      <c r="D103" s="6">
        <f t="shared" si="17"/>
        <v>788.52499104793571</v>
      </c>
      <c r="E103" s="6">
        <f t="shared" si="18"/>
        <v>94780.115778829713</v>
      </c>
      <c r="F103" s="35">
        <f t="shared" si="19"/>
        <v>150</v>
      </c>
      <c r="G103" s="35">
        <v>0</v>
      </c>
      <c r="H103" s="6">
        <f t="shared" si="14"/>
        <v>1441.3749910479357</v>
      </c>
      <c r="I103" s="36">
        <f t="shared" si="20"/>
        <v>48274</v>
      </c>
      <c r="J103" s="37" t="s">
        <v>107</v>
      </c>
    </row>
    <row r="104" spans="1:10" ht="15" customHeight="1" x14ac:dyDescent="0.25">
      <c r="A104" s="34">
        <v>88</v>
      </c>
      <c r="B104" s="6">
        <f t="shared" si="15"/>
        <v>1291.3749910479357</v>
      </c>
      <c r="C104" s="6">
        <f t="shared" si="16"/>
        <v>498.7</v>
      </c>
      <c r="D104" s="6">
        <f t="shared" si="17"/>
        <v>792.67499104793569</v>
      </c>
      <c r="E104" s="6">
        <f t="shared" si="18"/>
        <v>93987.440787781772</v>
      </c>
      <c r="F104" s="35">
        <f t="shared" si="19"/>
        <v>150</v>
      </c>
      <c r="G104" s="35">
        <v>0</v>
      </c>
      <c r="H104" s="6">
        <f t="shared" si="14"/>
        <v>1441.3749910479357</v>
      </c>
      <c r="I104" s="36">
        <f t="shared" si="20"/>
        <v>48305</v>
      </c>
      <c r="J104" s="37" t="s">
        <v>107</v>
      </c>
    </row>
    <row r="105" spans="1:10" ht="15" customHeight="1" x14ac:dyDescent="0.25">
      <c r="A105" s="34">
        <v>89</v>
      </c>
      <c r="B105" s="6">
        <f t="shared" si="15"/>
        <v>1291.3749910479357</v>
      </c>
      <c r="C105" s="6">
        <f t="shared" si="16"/>
        <v>494.53</v>
      </c>
      <c r="D105" s="6">
        <f t="shared" si="17"/>
        <v>796.84499104793576</v>
      </c>
      <c r="E105" s="6">
        <f t="shared" si="18"/>
        <v>93190.595796733833</v>
      </c>
      <c r="F105" s="35">
        <f t="shared" si="19"/>
        <v>150</v>
      </c>
      <c r="G105" s="35">
        <v>0</v>
      </c>
      <c r="H105" s="6">
        <f t="shared" si="14"/>
        <v>1441.3749910479357</v>
      </c>
      <c r="I105" s="36">
        <f t="shared" si="20"/>
        <v>48335</v>
      </c>
      <c r="J105" s="37" t="s">
        <v>107</v>
      </c>
    </row>
    <row r="106" spans="1:10" ht="15" customHeight="1" x14ac:dyDescent="0.25">
      <c r="A106" s="34">
        <v>90</v>
      </c>
      <c r="B106" s="6">
        <f t="shared" si="15"/>
        <v>1291.3749910479357</v>
      </c>
      <c r="C106" s="6">
        <f t="shared" si="16"/>
        <v>490.34</v>
      </c>
      <c r="D106" s="6">
        <f t="shared" si="17"/>
        <v>801.03499104793582</v>
      </c>
      <c r="E106" s="6">
        <f t="shared" si="18"/>
        <v>92389.560805685891</v>
      </c>
      <c r="F106" s="35">
        <f t="shared" si="19"/>
        <v>150</v>
      </c>
      <c r="G106" s="35">
        <v>0</v>
      </c>
      <c r="H106" s="6">
        <f t="shared" si="14"/>
        <v>1441.3749910479357</v>
      </c>
      <c r="I106" s="36">
        <f t="shared" si="20"/>
        <v>48366</v>
      </c>
      <c r="J106" s="37" t="s">
        <v>107</v>
      </c>
    </row>
    <row r="107" spans="1:10" ht="15" customHeight="1" x14ac:dyDescent="0.25">
      <c r="A107" s="34">
        <v>91</v>
      </c>
      <c r="B107" s="6">
        <f t="shared" si="15"/>
        <v>1291.3749910479357</v>
      </c>
      <c r="C107" s="6">
        <f t="shared" si="16"/>
        <v>486.13</v>
      </c>
      <c r="D107" s="6">
        <f t="shared" si="17"/>
        <v>805.24499104793574</v>
      </c>
      <c r="E107" s="6">
        <f t="shared" si="18"/>
        <v>91584.315814637957</v>
      </c>
      <c r="F107" s="35">
        <f t="shared" si="19"/>
        <v>150</v>
      </c>
      <c r="G107" s="35">
        <v>0</v>
      </c>
      <c r="H107" s="6">
        <f t="shared" si="14"/>
        <v>1441.3749910479357</v>
      </c>
      <c r="I107" s="36">
        <f t="shared" si="20"/>
        <v>48396</v>
      </c>
      <c r="J107" s="37" t="s">
        <v>107</v>
      </c>
    </row>
    <row r="108" spans="1:10" ht="15" customHeight="1" x14ac:dyDescent="0.25">
      <c r="A108" s="34">
        <v>92</v>
      </c>
      <c r="B108" s="6">
        <f t="shared" si="15"/>
        <v>1291.3749910479357</v>
      </c>
      <c r="C108" s="6">
        <f t="shared" si="16"/>
        <v>481.89</v>
      </c>
      <c r="D108" s="6">
        <f t="shared" si="17"/>
        <v>809.48499104793575</v>
      </c>
      <c r="E108" s="6">
        <f t="shared" si="18"/>
        <v>90774.830823590019</v>
      </c>
      <c r="F108" s="35">
        <f t="shared" si="19"/>
        <v>150</v>
      </c>
      <c r="G108" s="35">
        <v>0</v>
      </c>
      <c r="H108" s="6">
        <f t="shared" si="14"/>
        <v>1441.3749910479357</v>
      </c>
      <c r="I108" s="36">
        <f t="shared" si="20"/>
        <v>48427</v>
      </c>
      <c r="J108" s="37" t="s">
        <v>107</v>
      </c>
    </row>
    <row r="109" spans="1:10" ht="15" customHeight="1" x14ac:dyDescent="0.25">
      <c r="A109" s="34">
        <v>93</v>
      </c>
      <c r="B109" s="6">
        <f t="shared" si="15"/>
        <v>1291.3749910479357</v>
      </c>
      <c r="C109" s="6">
        <f t="shared" si="16"/>
        <v>477.63</v>
      </c>
      <c r="D109" s="6">
        <f t="shared" si="17"/>
        <v>813.74499104793574</v>
      </c>
      <c r="E109" s="6">
        <f t="shared" si="18"/>
        <v>89961.085832542085</v>
      </c>
      <c r="F109" s="35">
        <f t="shared" si="19"/>
        <v>150</v>
      </c>
      <c r="G109" s="35">
        <v>0</v>
      </c>
      <c r="H109" s="6">
        <f t="shared" si="14"/>
        <v>1441.3749910479357</v>
      </c>
      <c r="I109" s="36">
        <f t="shared" si="20"/>
        <v>48458</v>
      </c>
      <c r="J109" s="37" t="s">
        <v>107</v>
      </c>
    </row>
    <row r="110" spans="1:10" ht="15" customHeight="1" x14ac:dyDescent="0.25">
      <c r="A110" s="34">
        <v>94</v>
      </c>
      <c r="B110" s="6">
        <f t="shared" si="15"/>
        <v>1291.3749910479357</v>
      </c>
      <c r="C110" s="6">
        <f t="shared" si="16"/>
        <v>473.35</v>
      </c>
      <c r="D110" s="6">
        <f t="shared" si="17"/>
        <v>818.02499104793571</v>
      </c>
      <c r="E110" s="6">
        <f t="shared" si="18"/>
        <v>89143.060841494153</v>
      </c>
      <c r="F110" s="35">
        <f t="shared" si="19"/>
        <v>150</v>
      </c>
      <c r="G110" s="35">
        <v>0</v>
      </c>
      <c r="H110" s="6">
        <f t="shared" si="14"/>
        <v>1441.3749910479357</v>
      </c>
      <c r="I110" s="36">
        <f t="shared" si="20"/>
        <v>48488</v>
      </c>
      <c r="J110" s="37" t="s">
        <v>107</v>
      </c>
    </row>
    <row r="111" spans="1:10" ht="15" customHeight="1" x14ac:dyDescent="0.25">
      <c r="A111" s="34">
        <v>95</v>
      </c>
      <c r="B111" s="6">
        <f t="shared" si="15"/>
        <v>1291.3749910479357</v>
      </c>
      <c r="C111" s="6">
        <f t="shared" si="16"/>
        <v>469.04</v>
      </c>
      <c r="D111" s="6">
        <f t="shared" si="17"/>
        <v>822.33499104793577</v>
      </c>
      <c r="E111" s="6">
        <f t="shared" si="18"/>
        <v>88320.725850446222</v>
      </c>
      <c r="F111" s="35">
        <f t="shared" si="19"/>
        <v>150</v>
      </c>
      <c r="G111" s="35">
        <v>0</v>
      </c>
      <c r="H111" s="6">
        <f t="shared" si="14"/>
        <v>1441.3749910479357</v>
      </c>
      <c r="I111" s="36">
        <f t="shared" si="20"/>
        <v>48519</v>
      </c>
      <c r="J111" s="37" t="s">
        <v>107</v>
      </c>
    </row>
    <row r="112" spans="1:10" ht="15" customHeight="1" x14ac:dyDescent="0.25">
      <c r="A112" s="34">
        <v>96</v>
      </c>
      <c r="B112" s="6">
        <f t="shared" si="15"/>
        <v>1291.3749910479357</v>
      </c>
      <c r="C112" s="6">
        <f t="shared" si="16"/>
        <v>464.72</v>
      </c>
      <c r="D112" s="6">
        <f t="shared" si="17"/>
        <v>826.65499104793571</v>
      </c>
      <c r="E112" s="6">
        <f t="shared" si="18"/>
        <v>87494.070859398285</v>
      </c>
      <c r="F112" s="35">
        <f t="shared" si="19"/>
        <v>150</v>
      </c>
      <c r="G112" s="35">
        <v>0</v>
      </c>
      <c r="H112" s="6">
        <f t="shared" si="14"/>
        <v>1441.3749910479357</v>
      </c>
      <c r="I112" s="36">
        <f t="shared" si="20"/>
        <v>48549</v>
      </c>
      <c r="J112" s="37" t="s">
        <v>107</v>
      </c>
    </row>
    <row r="113" spans="1:10" ht="15" customHeight="1" x14ac:dyDescent="0.25">
      <c r="A113" s="34">
        <v>97</v>
      </c>
      <c r="B113" s="6">
        <f t="shared" si="15"/>
        <v>1291.3749910479357</v>
      </c>
      <c r="C113" s="6">
        <f t="shared" si="16"/>
        <v>460.37</v>
      </c>
      <c r="D113" s="6">
        <f t="shared" si="17"/>
        <v>831.00499104793573</v>
      </c>
      <c r="E113" s="6">
        <f t="shared" si="18"/>
        <v>86663.065868350342</v>
      </c>
      <c r="F113" s="35">
        <f t="shared" si="19"/>
        <v>150</v>
      </c>
      <c r="G113" s="35">
        <v>0</v>
      </c>
      <c r="H113" s="6">
        <f t="shared" ref="H113:H144" si="21">IF(B113&gt;0,B113+F113,0)</f>
        <v>1441.3749910479357</v>
      </c>
      <c r="I113" s="36">
        <f t="shared" si="20"/>
        <v>48580</v>
      </c>
      <c r="J113" s="37" t="s">
        <v>107</v>
      </c>
    </row>
    <row r="114" spans="1:10" ht="15" customHeight="1" x14ac:dyDescent="0.25">
      <c r="A114" s="34">
        <v>98</v>
      </c>
      <c r="B114" s="6">
        <f t="shared" ref="B114:B145" si="22">IF(E113&gt;0,MIN($E$5+G114+$H$11,E113+C114),0)</f>
        <v>1291.3749910479357</v>
      </c>
      <c r="C114" s="6">
        <f t="shared" ref="C114:C145" si="23">IF(E113&gt;0,ROUND(E113*$E$4,2),0)</f>
        <v>455.99</v>
      </c>
      <c r="D114" s="6">
        <f t="shared" ref="D114:D145" si="24">IF(E113&gt;0,B114-C114,0)</f>
        <v>835.38499104793573</v>
      </c>
      <c r="E114" s="6">
        <f t="shared" ref="E114:E145" si="25">IF(E113&gt;0,MAX(E113-D114,0),0)</f>
        <v>85827.680877302409</v>
      </c>
      <c r="F114" s="35">
        <f t="shared" ref="F114:F145" si="26">IF(E113&gt;0,$H$5,0)</f>
        <v>150</v>
      </c>
      <c r="G114" s="35">
        <v>0</v>
      </c>
      <c r="H114" s="6">
        <f t="shared" si="21"/>
        <v>1441.3749910479357</v>
      </c>
      <c r="I114" s="36">
        <f t="shared" ref="I114:I145" si="27">IF(E114&gt;0,EDATE($B$8,A114-1),"")</f>
        <v>48611</v>
      </c>
      <c r="J114" s="37" t="s">
        <v>107</v>
      </c>
    </row>
    <row r="115" spans="1:10" ht="15" customHeight="1" x14ac:dyDescent="0.25">
      <c r="A115" s="34">
        <v>99</v>
      </c>
      <c r="B115" s="6">
        <f t="shared" si="22"/>
        <v>1291.3749910479357</v>
      </c>
      <c r="C115" s="6">
        <f t="shared" si="23"/>
        <v>451.6</v>
      </c>
      <c r="D115" s="6">
        <f t="shared" si="24"/>
        <v>839.77499104793571</v>
      </c>
      <c r="E115" s="6">
        <f t="shared" si="25"/>
        <v>84987.905886254477</v>
      </c>
      <c r="F115" s="35">
        <f t="shared" si="26"/>
        <v>150</v>
      </c>
      <c r="G115" s="35">
        <v>0</v>
      </c>
      <c r="H115" s="6">
        <f t="shared" si="21"/>
        <v>1441.3749910479357</v>
      </c>
      <c r="I115" s="36">
        <f t="shared" si="27"/>
        <v>48639</v>
      </c>
      <c r="J115" s="37" t="s">
        <v>107</v>
      </c>
    </row>
    <row r="116" spans="1:10" ht="15" customHeight="1" x14ac:dyDescent="0.25">
      <c r="A116" s="34">
        <v>100</v>
      </c>
      <c r="B116" s="6">
        <f t="shared" si="22"/>
        <v>1291.3749910479357</v>
      </c>
      <c r="C116" s="6">
        <f t="shared" si="23"/>
        <v>447.18</v>
      </c>
      <c r="D116" s="6">
        <f t="shared" si="24"/>
        <v>844.19499104793567</v>
      </c>
      <c r="E116" s="6">
        <f t="shared" si="25"/>
        <v>84143.710895206546</v>
      </c>
      <c r="F116" s="35">
        <f t="shared" si="26"/>
        <v>150</v>
      </c>
      <c r="G116" s="35">
        <v>0</v>
      </c>
      <c r="H116" s="6">
        <f t="shared" si="21"/>
        <v>1441.3749910479357</v>
      </c>
      <c r="I116" s="36">
        <f t="shared" si="27"/>
        <v>48670</v>
      </c>
      <c r="J116" s="37" t="s">
        <v>107</v>
      </c>
    </row>
    <row r="117" spans="1:10" ht="15" customHeight="1" x14ac:dyDescent="0.25">
      <c r="A117" s="34">
        <v>101</v>
      </c>
      <c r="B117" s="6">
        <f t="shared" si="22"/>
        <v>1291.3749910479357</v>
      </c>
      <c r="C117" s="6">
        <f t="shared" si="23"/>
        <v>442.74</v>
      </c>
      <c r="D117" s="6">
        <f t="shared" si="24"/>
        <v>848.63499104793573</v>
      </c>
      <c r="E117" s="6">
        <f t="shared" si="25"/>
        <v>83295.075904158613</v>
      </c>
      <c r="F117" s="35">
        <f t="shared" si="26"/>
        <v>150</v>
      </c>
      <c r="G117" s="35">
        <v>0</v>
      </c>
      <c r="H117" s="6">
        <f t="shared" si="21"/>
        <v>1441.3749910479357</v>
      </c>
      <c r="I117" s="36">
        <f t="shared" si="27"/>
        <v>48700</v>
      </c>
      <c r="J117" s="37" t="s">
        <v>107</v>
      </c>
    </row>
    <row r="118" spans="1:10" ht="15" customHeight="1" x14ac:dyDescent="0.25">
      <c r="A118" s="34">
        <v>102</v>
      </c>
      <c r="B118" s="6">
        <f t="shared" si="22"/>
        <v>1291.3749910479357</v>
      </c>
      <c r="C118" s="6">
        <f t="shared" si="23"/>
        <v>438.27</v>
      </c>
      <c r="D118" s="6">
        <f t="shared" si="24"/>
        <v>853.10499104793575</v>
      </c>
      <c r="E118" s="6">
        <f t="shared" si="25"/>
        <v>82441.970913110679</v>
      </c>
      <c r="F118" s="35">
        <f t="shared" si="26"/>
        <v>150</v>
      </c>
      <c r="G118" s="35">
        <v>0</v>
      </c>
      <c r="H118" s="6">
        <f t="shared" si="21"/>
        <v>1441.3749910479357</v>
      </c>
      <c r="I118" s="36">
        <f t="shared" si="27"/>
        <v>48731</v>
      </c>
      <c r="J118" s="37" t="s">
        <v>107</v>
      </c>
    </row>
    <row r="119" spans="1:10" ht="15" customHeight="1" x14ac:dyDescent="0.25">
      <c r="A119" s="34">
        <v>103</v>
      </c>
      <c r="B119" s="6">
        <f t="shared" si="22"/>
        <v>1291.3749910479357</v>
      </c>
      <c r="C119" s="6">
        <f t="shared" si="23"/>
        <v>433.78</v>
      </c>
      <c r="D119" s="6">
        <f t="shared" si="24"/>
        <v>857.59499104793576</v>
      </c>
      <c r="E119" s="6">
        <f t="shared" si="25"/>
        <v>81584.37592206274</v>
      </c>
      <c r="F119" s="35">
        <f t="shared" si="26"/>
        <v>150</v>
      </c>
      <c r="G119" s="35">
        <v>0</v>
      </c>
      <c r="H119" s="6">
        <f t="shared" si="21"/>
        <v>1441.3749910479357</v>
      </c>
      <c r="I119" s="36">
        <f t="shared" si="27"/>
        <v>48761</v>
      </c>
      <c r="J119" s="37" t="s">
        <v>107</v>
      </c>
    </row>
    <row r="120" spans="1:10" ht="15" customHeight="1" x14ac:dyDescent="0.25">
      <c r="A120" s="34">
        <v>104</v>
      </c>
      <c r="B120" s="6">
        <f t="shared" si="22"/>
        <v>1291.3749910479357</v>
      </c>
      <c r="C120" s="6">
        <f t="shared" si="23"/>
        <v>429.27</v>
      </c>
      <c r="D120" s="6">
        <f t="shared" si="24"/>
        <v>862.10499104793575</v>
      </c>
      <c r="E120" s="6">
        <f t="shared" si="25"/>
        <v>80722.270931014806</v>
      </c>
      <c r="F120" s="35">
        <f t="shared" si="26"/>
        <v>150</v>
      </c>
      <c r="G120" s="35">
        <v>0</v>
      </c>
      <c r="H120" s="6">
        <f t="shared" si="21"/>
        <v>1441.3749910479357</v>
      </c>
      <c r="I120" s="36">
        <f t="shared" si="27"/>
        <v>48792</v>
      </c>
      <c r="J120" s="37" t="s">
        <v>107</v>
      </c>
    </row>
    <row r="121" spans="1:10" ht="15" customHeight="1" x14ac:dyDescent="0.25">
      <c r="A121" s="34">
        <v>105</v>
      </c>
      <c r="B121" s="6">
        <f t="shared" si="22"/>
        <v>1291.3749910479357</v>
      </c>
      <c r="C121" s="6">
        <f t="shared" si="23"/>
        <v>424.74</v>
      </c>
      <c r="D121" s="6">
        <f t="shared" si="24"/>
        <v>866.63499104793573</v>
      </c>
      <c r="E121" s="6">
        <f t="shared" si="25"/>
        <v>79855.635939966873</v>
      </c>
      <c r="F121" s="35">
        <f t="shared" si="26"/>
        <v>150</v>
      </c>
      <c r="G121" s="35">
        <v>0</v>
      </c>
      <c r="H121" s="6">
        <f t="shared" si="21"/>
        <v>1441.3749910479357</v>
      </c>
      <c r="I121" s="36">
        <f t="shared" si="27"/>
        <v>48823</v>
      </c>
      <c r="J121" s="37" t="s">
        <v>107</v>
      </c>
    </row>
    <row r="122" spans="1:10" ht="15" customHeight="1" x14ac:dyDescent="0.25">
      <c r="A122" s="34">
        <v>106</v>
      </c>
      <c r="B122" s="6">
        <f t="shared" si="22"/>
        <v>1291.3749910479357</v>
      </c>
      <c r="C122" s="6">
        <f t="shared" si="23"/>
        <v>420.18</v>
      </c>
      <c r="D122" s="6">
        <f t="shared" si="24"/>
        <v>871.19499104793567</v>
      </c>
      <c r="E122" s="6">
        <f t="shared" si="25"/>
        <v>78984.440948918942</v>
      </c>
      <c r="F122" s="35">
        <f t="shared" si="26"/>
        <v>150</v>
      </c>
      <c r="G122" s="35">
        <v>0</v>
      </c>
      <c r="H122" s="6">
        <f t="shared" si="21"/>
        <v>1441.3749910479357</v>
      </c>
      <c r="I122" s="36">
        <f t="shared" si="27"/>
        <v>48853</v>
      </c>
      <c r="J122" s="37" t="s">
        <v>107</v>
      </c>
    </row>
    <row r="123" spans="1:10" ht="15" customHeight="1" x14ac:dyDescent="0.25">
      <c r="A123" s="34">
        <v>107</v>
      </c>
      <c r="B123" s="6">
        <f t="shared" si="22"/>
        <v>1291.3749910479357</v>
      </c>
      <c r="C123" s="6">
        <f t="shared" si="23"/>
        <v>415.59</v>
      </c>
      <c r="D123" s="6">
        <f t="shared" si="24"/>
        <v>875.78499104793582</v>
      </c>
      <c r="E123" s="6">
        <f t="shared" si="25"/>
        <v>78108.655957871</v>
      </c>
      <c r="F123" s="35">
        <f t="shared" si="26"/>
        <v>150</v>
      </c>
      <c r="G123" s="35">
        <v>0</v>
      </c>
      <c r="H123" s="6">
        <f t="shared" si="21"/>
        <v>1441.3749910479357</v>
      </c>
      <c r="I123" s="36">
        <f t="shared" si="27"/>
        <v>48884</v>
      </c>
      <c r="J123" s="37" t="s">
        <v>107</v>
      </c>
    </row>
    <row r="124" spans="1:10" ht="15" customHeight="1" x14ac:dyDescent="0.25">
      <c r="A124" s="34">
        <v>108</v>
      </c>
      <c r="B124" s="6">
        <f t="shared" si="22"/>
        <v>1291.3749910479357</v>
      </c>
      <c r="C124" s="6">
        <f t="shared" si="23"/>
        <v>410.98</v>
      </c>
      <c r="D124" s="6">
        <f t="shared" si="24"/>
        <v>880.39499104793572</v>
      </c>
      <c r="E124" s="6">
        <f t="shared" si="25"/>
        <v>77228.260966823058</v>
      </c>
      <c r="F124" s="35">
        <f t="shared" si="26"/>
        <v>150</v>
      </c>
      <c r="G124" s="35">
        <v>0</v>
      </c>
      <c r="H124" s="6">
        <f t="shared" si="21"/>
        <v>1441.3749910479357</v>
      </c>
      <c r="I124" s="36">
        <f t="shared" si="27"/>
        <v>48914</v>
      </c>
      <c r="J124" s="37" t="s">
        <v>107</v>
      </c>
    </row>
    <row r="125" spans="1:10" ht="15" customHeight="1" x14ac:dyDescent="0.25">
      <c r="A125" s="34">
        <v>109</v>
      </c>
      <c r="B125" s="6">
        <f t="shared" si="22"/>
        <v>1291.3749910479357</v>
      </c>
      <c r="C125" s="6">
        <f t="shared" si="23"/>
        <v>406.35</v>
      </c>
      <c r="D125" s="6">
        <f t="shared" si="24"/>
        <v>885.02499104793571</v>
      </c>
      <c r="E125" s="6">
        <f t="shared" si="25"/>
        <v>76343.235975775126</v>
      </c>
      <c r="F125" s="35">
        <f t="shared" si="26"/>
        <v>150</v>
      </c>
      <c r="G125" s="35">
        <v>0</v>
      </c>
      <c r="H125" s="6">
        <f t="shared" si="21"/>
        <v>1441.3749910479357</v>
      </c>
      <c r="I125" s="36">
        <f t="shared" si="27"/>
        <v>48945</v>
      </c>
      <c r="J125" s="37" t="s">
        <v>107</v>
      </c>
    </row>
    <row r="126" spans="1:10" ht="15" customHeight="1" x14ac:dyDescent="0.25">
      <c r="A126" s="34">
        <v>110</v>
      </c>
      <c r="B126" s="6">
        <f t="shared" si="22"/>
        <v>1291.3749910479357</v>
      </c>
      <c r="C126" s="6">
        <f t="shared" si="23"/>
        <v>401.69</v>
      </c>
      <c r="D126" s="6">
        <f t="shared" si="24"/>
        <v>889.68499104793568</v>
      </c>
      <c r="E126" s="6">
        <f t="shared" si="25"/>
        <v>75453.55098472719</v>
      </c>
      <c r="F126" s="35">
        <f t="shared" si="26"/>
        <v>150</v>
      </c>
      <c r="G126" s="35">
        <v>0</v>
      </c>
      <c r="H126" s="6">
        <f t="shared" si="21"/>
        <v>1441.3749910479357</v>
      </c>
      <c r="I126" s="36">
        <f t="shared" si="27"/>
        <v>48976</v>
      </c>
      <c r="J126" s="37" t="s">
        <v>107</v>
      </c>
    </row>
    <row r="127" spans="1:10" ht="15" customHeight="1" x14ac:dyDescent="0.25">
      <c r="A127" s="34">
        <v>111</v>
      </c>
      <c r="B127" s="6">
        <f t="shared" si="22"/>
        <v>1291.3749910479357</v>
      </c>
      <c r="C127" s="6">
        <f t="shared" si="23"/>
        <v>397.01</v>
      </c>
      <c r="D127" s="6">
        <f t="shared" si="24"/>
        <v>894.36499104793575</v>
      </c>
      <c r="E127" s="6">
        <f t="shared" si="25"/>
        <v>74559.185993679261</v>
      </c>
      <c r="F127" s="35">
        <f t="shared" si="26"/>
        <v>150</v>
      </c>
      <c r="G127" s="35">
        <v>0</v>
      </c>
      <c r="H127" s="6">
        <f t="shared" si="21"/>
        <v>1441.3749910479357</v>
      </c>
      <c r="I127" s="36">
        <f t="shared" si="27"/>
        <v>49004</v>
      </c>
      <c r="J127" s="37" t="s">
        <v>107</v>
      </c>
    </row>
    <row r="128" spans="1:10" ht="15" customHeight="1" x14ac:dyDescent="0.25">
      <c r="A128" s="34">
        <v>112</v>
      </c>
      <c r="B128" s="6">
        <f t="shared" si="22"/>
        <v>1291.3749910479357</v>
      </c>
      <c r="C128" s="6">
        <f t="shared" si="23"/>
        <v>392.31</v>
      </c>
      <c r="D128" s="6">
        <f t="shared" si="24"/>
        <v>899.06499104793579</v>
      </c>
      <c r="E128" s="6">
        <f t="shared" si="25"/>
        <v>73660.12100263132</v>
      </c>
      <c r="F128" s="35">
        <f t="shared" si="26"/>
        <v>150</v>
      </c>
      <c r="G128" s="35">
        <v>0</v>
      </c>
      <c r="H128" s="6">
        <f t="shared" si="21"/>
        <v>1441.3749910479357</v>
      </c>
      <c r="I128" s="36">
        <f t="shared" si="27"/>
        <v>49035</v>
      </c>
      <c r="J128" s="37" t="s">
        <v>107</v>
      </c>
    </row>
    <row r="129" spans="1:10" ht="15" customHeight="1" x14ac:dyDescent="0.25">
      <c r="A129" s="34">
        <v>113</v>
      </c>
      <c r="B129" s="6">
        <f t="shared" si="22"/>
        <v>1291.3749910479357</v>
      </c>
      <c r="C129" s="6">
        <f t="shared" si="23"/>
        <v>387.58</v>
      </c>
      <c r="D129" s="6">
        <f t="shared" si="24"/>
        <v>903.79499104793581</v>
      </c>
      <c r="E129" s="6">
        <f t="shared" si="25"/>
        <v>72756.326011583384</v>
      </c>
      <c r="F129" s="35">
        <f t="shared" si="26"/>
        <v>150</v>
      </c>
      <c r="G129" s="35">
        <v>0</v>
      </c>
      <c r="H129" s="6">
        <f t="shared" si="21"/>
        <v>1441.3749910479357</v>
      </c>
      <c r="I129" s="36">
        <f t="shared" si="27"/>
        <v>49065</v>
      </c>
      <c r="J129" s="37" t="s">
        <v>107</v>
      </c>
    </row>
    <row r="130" spans="1:10" ht="15" customHeight="1" x14ac:dyDescent="0.25">
      <c r="A130" s="34">
        <v>114</v>
      </c>
      <c r="B130" s="6">
        <f t="shared" si="22"/>
        <v>1291.3749910479357</v>
      </c>
      <c r="C130" s="6">
        <f t="shared" si="23"/>
        <v>382.82</v>
      </c>
      <c r="D130" s="6">
        <f t="shared" si="24"/>
        <v>908.5549910479358</v>
      </c>
      <c r="E130" s="6">
        <f t="shared" si="25"/>
        <v>71847.771020535452</v>
      </c>
      <c r="F130" s="35">
        <f t="shared" si="26"/>
        <v>150</v>
      </c>
      <c r="G130" s="35">
        <v>0</v>
      </c>
      <c r="H130" s="6">
        <f t="shared" si="21"/>
        <v>1441.3749910479357</v>
      </c>
      <c r="I130" s="36">
        <f t="shared" si="27"/>
        <v>49096</v>
      </c>
      <c r="J130" s="37" t="s">
        <v>107</v>
      </c>
    </row>
    <row r="131" spans="1:10" ht="15" customHeight="1" x14ac:dyDescent="0.25">
      <c r="A131" s="34">
        <v>115</v>
      </c>
      <c r="B131" s="6">
        <f t="shared" si="22"/>
        <v>1291.3749910479357</v>
      </c>
      <c r="C131" s="6">
        <f t="shared" si="23"/>
        <v>378.04</v>
      </c>
      <c r="D131" s="6">
        <f t="shared" si="24"/>
        <v>913.33499104793577</v>
      </c>
      <c r="E131" s="6">
        <f t="shared" si="25"/>
        <v>70934.436029487522</v>
      </c>
      <c r="F131" s="35">
        <f t="shared" si="26"/>
        <v>150</v>
      </c>
      <c r="G131" s="35">
        <v>0</v>
      </c>
      <c r="H131" s="6">
        <f t="shared" si="21"/>
        <v>1441.3749910479357</v>
      </c>
      <c r="I131" s="36">
        <f t="shared" si="27"/>
        <v>49126</v>
      </c>
      <c r="J131" s="37" t="s">
        <v>107</v>
      </c>
    </row>
    <row r="132" spans="1:10" ht="15" customHeight="1" x14ac:dyDescent="0.25">
      <c r="A132" s="34">
        <v>116</v>
      </c>
      <c r="B132" s="6">
        <f t="shared" si="22"/>
        <v>1291.3749910479357</v>
      </c>
      <c r="C132" s="6">
        <f t="shared" si="23"/>
        <v>373.24</v>
      </c>
      <c r="D132" s="6">
        <f t="shared" si="24"/>
        <v>918.13499104793573</v>
      </c>
      <c r="E132" s="6">
        <f t="shared" si="25"/>
        <v>70016.301038439589</v>
      </c>
      <c r="F132" s="35">
        <f t="shared" si="26"/>
        <v>150</v>
      </c>
      <c r="G132" s="35">
        <v>0</v>
      </c>
      <c r="H132" s="6">
        <f t="shared" si="21"/>
        <v>1441.3749910479357</v>
      </c>
      <c r="I132" s="36">
        <f t="shared" si="27"/>
        <v>49157</v>
      </c>
      <c r="J132" s="37" t="s">
        <v>107</v>
      </c>
    </row>
    <row r="133" spans="1:10" ht="15" customHeight="1" x14ac:dyDescent="0.25">
      <c r="A133" s="34">
        <v>117</v>
      </c>
      <c r="B133" s="6">
        <f t="shared" si="22"/>
        <v>1291.3749910479357</v>
      </c>
      <c r="C133" s="6">
        <f t="shared" si="23"/>
        <v>368.4</v>
      </c>
      <c r="D133" s="6">
        <f t="shared" si="24"/>
        <v>922.97499104793576</v>
      </c>
      <c r="E133" s="6">
        <f t="shared" si="25"/>
        <v>69093.32604739166</v>
      </c>
      <c r="F133" s="35">
        <f t="shared" si="26"/>
        <v>150</v>
      </c>
      <c r="G133" s="35">
        <v>0</v>
      </c>
      <c r="H133" s="6">
        <f t="shared" si="21"/>
        <v>1441.3749910479357</v>
      </c>
      <c r="I133" s="36">
        <f t="shared" si="27"/>
        <v>49188</v>
      </c>
      <c r="J133" s="37" t="s">
        <v>107</v>
      </c>
    </row>
    <row r="134" spans="1:10" ht="15" customHeight="1" x14ac:dyDescent="0.25">
      <c r="A134" s="34">
        <v>118</v>
      </c>
      <c r="B134" s="6">
        <f t="shared" si="22"/>
        <v>1291.3749910479357</v>
      </c>
      <c r="C134" s="6">
        <f t="shared" si="23"/>
        <v>363.55</v>
      </c>
      <c r="D134" s="6">
        <f t="shared" si="24"/>
        <v>927.82499104793578</v>
      </c>
      <c r="E134" s="6">
        <f t="shared" si="25"/>
        <v>68165.501056343724</v>
      </c>
      <c r="F134" s="35">
        <f t="shared" si="26"/>
        <v>150</v>
      </c>
      <c r="G134" s="35">
        <v>0</v>
      </c>
      <c r="H134" s="6">
        <f t="shared" si="21"/>
        <v>1441.3749910479357</v>
      </c>
      <c r="I134" s="36">
        <f t="shared" si="27"/>
        <v>49218</v>
      </c>
      <c r="J134" s="37" t="s">
        <v>107</v>
      </c>
    </row>
    <row r="135" spans="1:10" ht="15" customHeight="1" x14ac:dyDescent="0.25">
      <c r="A135" s="34">
        <v>119</v>
      </c>
      <c r="B135" s="6">
        <f t="shared" si="22"/>
        <v>1291.3749910479357</v>
      </c>
      <c r="C135" s="6">
        <f t="shared" si="23"/>
        <v>358.67</v>
      </c>
      <c r="D135" s="6">
        <f t="shared" si="24"/>
        <v>932.70499104793566</v>
      </c>
      <c r="E135" s="6">
        <f t="shared" si="25"/>
        <v>67232.796065295785</v>
      </c>
      <c r="F135" s="35">
        <f t="shared" si="26"/>
        <v>150</v>
      </c>
      <c r="G135" s="35">
        <v>0</v>
      </c>
      <c r="H135" s="6">
        <f t="shared" si="21"/>
        <v>1441.3749910479357</v>
      </c>
      <c r="I135" s="36">
        <f t="shared" si="27"/>
        <v>49249</v>
      </c>
      <c r="J135" s="37" t="s">
        <v>107</v>
      </c>
    </row>
    <row r="136" spans="1:10" ht="15" customHeight="1" x14ac:dyDescent="0.25">
      <c r="A136" s="34">
        <v>120</v>
      </c>
      <c r="B136" s="6">
        <f t="shared" si="22"/>
        <v>1291.3749910479357</v>
      </c>
      <c r="C136" s="6">
        <f t="shared" si="23"/>
        <v>353.76</v>
      </c>
      <c r="D136" s="6">
        <f t="shared" si="24"/>
        <v>937.61499104793575</v>
      </c>
      <c r="E136" s="6">
        <f t="shared" si="25"/>
        <v>66295.181074247856</v>
      </c>
      <c r="F136" s="35">
        <f t="shared" si="26"/>
        <v>150</v>
      </c>
      <c r="G136" s="35">
        <v>0</v>
      </c>
      <c r="H136" s="6">
        <f t="shared" si="21"/>
        <v>1441.3749910479357</v>
      </c>
      <c r="I136" s="36">
        <f t="shared" si="27"/>
        <v>49279</v>
      </c>
      <c r="J136" s="37" t="s">
        <v>107</v>
      </c>
    </row>
    <row r="137" spans="1:10" ht="15" customHeight="1" x14ac:dyDescent="0.25">
      <c r="A137" s="34">
        <v>121</v>
      </c>
      <c r="B137" s="6">
        <f t="shared" si="22"/>
        <v>1291.3749910479357</v>
      </c>
      <c r="C137" s="6">
        <f t="shared" si="23"/>
        <v>348.82</v>
      </c>
      <c r="D137" s="6">
        <f t="shared" si="24"/>
        <v>942.5549910479358</v>
      </c>
      <c r="E137" s="6">
        <f t="shared" si="25"/>
        <v>65352.626083199917</v>
      </c>
      <c r="F137" s="35">
        <f t="shared" si="26"/>
        <v>150</v>
      </c>
      <c r="G137" s="35">
        <v>0</v>
      </c>
      <c r="H137" s="6">
        <f t="shared" si="21"/>
        <v>1441.3749910479357</v>
      </c>
      <c r="I137" s="36">
        <f t="shared" si="27"/>
        <v>49310</v>
      </c>
      <c r="J137" s="37" t="s">
        <v>107</v>
      </c>
    </row>
    <row r="138" spans="1:10" ht="15" customHeight="1" x14ac:dyDescent="0.25">
      <c r="A138" s="34">
        <v>122</v>
      </c>
      <c r="B138" s="6">
        <f t="shared" si="22"/>
        <v>1291.3749910479357</v>
      </c>
      <c r="C138" s="6">
        <f t="shared" si="23"/>
        <v>343.87</v>
      </c>
      <c r="D138" s="6">
        <f t="shared" si="24"/>
        <v>947.50499104793573</v>
      </c>
      <c r="E138" s="6">
        <f t="shared" si="25"/>
        <v>64405.121092151981</v>
      </c>
      <c r="F138" s="35">
        <f t="shared" si="26"/>
        <v>150</v>
      </c>
      <c r="G138" s="35">
        <v>0</v>
      </c>
      <c r="H138" s="6">
        <f t="shared" si="21"/>
        <v>1441.3749910479357</v>
      </c>
      <c r="I138" s="36">
        <f t="shared" si="27"/>
        <v>49341</v>
      </c>
      <c r="J138" s="37" t="s">
        <v>107</v>
      </c>
    </row>
    <row r="139" spans="1:10" ht="15" customHeight="1" x14ac:dyDescent="0.25">
      <c r="A139" s="34">
        <v>123</v>
      </c>
      <c r="B139" s="6">
        <f t="shared" si="22"/>
        <v>1291.3749910479357</v>
      </c>
      <c r="C139" s="6">
        <f t="shared" si="23"/>
        <v>338.88</v>
      </c>
      <c r="D139" s="6">
        <f t="shared" si="24"/>
        <v>952.49499104793574</v>
      </c>
      <c r="E139" s="6">
        <f t="shared" si="25"/>
        <v>63452.626101104048</v>
      </c>
      <c r="F139" s="35">
        <f t="shared" si="26"/>
        <v>150</v>
      </c>
      <c r="G139" s="35">
        <v>0</v>
      </c>
      <c r="H139" s="6">
        <f t="shared" si="21"/>
        <v>1441.3749910479357</v>
      </c>
      <c r="I139" s="36">
        <f t="shared" si="27"/>
        <v>49369</v>
      </c>
      <c r="J139" s="37" t="s">
        <v>107</v>
      </c>
    </row>
    <row r="140" spans="1:10" ht="15" customHeight="1" x14ac:dyDescent="0.25">
      <c r="A140" s="34">
        <v>124</v>
      </c>
      <c r="B140" s="6">
        <f t="shared" si="22"/>
        <v>1291.3749910479357</v>
      </c>
      <c r="C140" s="6">
        <f t="shared" si="23"/>
        <v>333.87</v>
      </c>
      <c r="D140" s="6">
        <f t="shared" si="24"/>
        <v>957.50499104793573</v>
      </c>
      <c r="E140" s="6">
        <f t="shared" si="25"/>
        <v>62495.121110056112</v>
      </c>
      <c r="F140" s="35">
        <f t="shared" si="26"/>
        <v>150</v>
      </c>
      <c r="G140" s="35">
        <v>0</v>
      </c>
      <c r="H140" s="6">
        <f t="shared" si="21"/>
        <v>1441.3749910479357</v>
      </c>
      <c r="I140" s="36">
        <f t="shared" si="27"/>
        <v>49400</v>
      </c>
      <c r="J140" s="37" t="s">
        <v>107</v>
      </c>
    </row>
    <row r="141" spans="1:10" ht="15" customHeight="1" x14ac:dyDescent="0.25">
      <c r="A141" s="34">
        <v>125</v>
      </c>
      <c r="B141" s="6">
        <f t="shared" si="22"/>
        <v>1291.3749910479357</v>
      </c>
      <c r="C141" s="6">
        <f t="shared" si="23"/>
        <v>328.83</v>
      </c>
      <c r="D141" s="6">
        <f t="shared" si="24"/>
        <v>962.54499104793581</v>
      </c>
      <c r="E141" s="6">
        <f t="shared" si="25"/>
        <v>61532.576119008176</v>
      </c>
      <c r="F141" s="35">
        <f t="shared" si="26"/>
        <v>150</v>
      </c>
      <c r="G141" s="35">
        <v>0</v>
      </c>
      <c r="H141" s="6">
        <f t="shared" si="21"/>
        <v>1441.3749910479357</v>
      </c>
      <c r="I141" s="36">
        <f t="shared" si="27"/>
        <v>49430</v>
      </c>
      <c r="J141" s="37" t="s">
        <v>107</v>
      </c>
    </row>
    <row r="142" spans="1:10" ht="15" customHeight="1" x14ac:dyDescent="0.25">
      <c r="A142" s="34">
        <v>126</v>
      </c>
      <c r="B142" s="6">
        <f t="shared" si="22"/>
        <v>1291.3749910479357</v>
      </c>
      <c r="C142" s="6">
        <f t="shared" si="23"/>
        <v>323.77</v>
      </c>
      <c r="D142" s="6">
        <f t="shared" si="24"/>
        <v>967.60499104793575</v>
      </c>
      <c r="E142" s="6">
        <f t="shared" si="25"/>
        <v>60564.971127960242</v>
      </c>
      <c r="F142" s="35">
        <f t="shared" si="26"/>
        <v>150</v>
      </c>
      <c r="G142" s="35">
        <v>0</v>
      </c>
      <c r="H142" s="6">
        <f t="shared" si="21"/>
        <v>1441.3749910479357</v>
      </c>
      <c r="I142" s="36">
        <f t="shared" si="27"/>
        <v>49461</v>
      </c>
      <c r="J142" s="37" t="s">
        <v>107</v>
      </c>
    </row>
    <row r="143" spans="1:10" ht="15" customHeight="1" x14ac:dyDescent="0.25">
      <c r="A143" s="34">
        <v>127</v>
      </c>
      <c r="B143" s="6">
        <f t="shared" si="22"/>
        <v>1291.3749910479357</v>
      </c>
      <c r="C143" s="6">
        <f t="shared" si="23"/>
        <v>318.67</v>
      </c>
      <c r="D143" s="6">
        <f t="shared" si="24"/>
        <v>972.70499104793566</v>
      </c>
      <c r="E143" s="6">
        <f t="shared" si="25"/>
        <v>59592.266136912309</v>
      </c>
      <c r="F143" s="35">
        <f t="shared" si="26"/>
        <v>150</v>
      </c>
      <c r="G143" s="35">
        <v>0</v>
      </c>
      <c r="H143" s="6">
        <f t="shared" si="21"/>
        <v>1441.3749910479357</v>
      </c>
      <c r="I143" s="36">
        <f t="shared" si="27"/>
        <v>49491</v>
      </c>
      <c r="J143" s="37" t="s">
        <v>107</v>
      </c>
    </row>
    <row r="144" spans="1:10" ht="15" customHeight="1" x14ac:dyDescent="0.25">
      <c r="A144" s="34">
        <v>128</v>
      </c>
      <c r="B144" s="6">
        <f t="shared" si="22"/>
        <v>1291.3749910479357</v>
      </c>
      <c r="C144" s="6">
        <f t="shared" si="23"/>
        <v>313.56</v>
      </c>
      <c r="D144" s="6">
        <f t="shared" si="24"/>
        <v>977.81499104793579</v>
      </c>
      <c r="E144" s="6">
        <f t="shared" si="25"/>
        <v>58614.451145864376</v>
      </c>
      <c r="F144" s="35">
        <f t="shared" si="26"/>
        <v>150</v>
      </c>
      <c r="G144" s="35">
        <v>0</v>
      </c>
      <c r="H144" s="6">
        <f t="shared" si="21"/>
        <v>1441.3749910479357</v>
      </c>
      <c r="I144" s="36">
        <f t="shared" si="27"/>
        <v>49522</v>
      </c>
      <c r="J144" s="37" t="s">
        <v>107</v>
      </c>
    </row>
    <row r="145" spans="1:10" ht="15" customHeight="1" x14ac:dyDescent="0.25">
      <c r="A145" s="34">
        <v>129</v>
      </c>
      <c r="B145" s="6">
        <f t="shared" si="22"/>
        <v>1291.3749910479357</v>
      </c>
      <c r="C145" s="6">
        <f t="shared" si="23"/>
        <v>308.41000000000003</v>
      </c>
      <c r="D145" s="6">
        <f t="shared" si="24"/>
        <v>982.96499104793565</v>
      </c>
      <c r="E145" s="6">
        <f t="shared" si="25"/>
        <v>57631.486154816441</v>
      </c>
      <c r="F145" s="35">
        <f t="shared" si="26"/>
        <v>150</v>
      </c>
      <c r="G145" s="35">
        <v>0</v>
      </c>
      <c r="H145" s="6">
        <f t="shared" ref="H145:H176" si="28">IF(B145&gt;0,B145+F145,0)</f>
        <v>1441.3749910479357</v>
      </c>
      <c r="I145" s="36">
        <f t="shared" si="27"/>
        <v>49553</v>
      </c>
      <c r="J145" s="37" t="s">
        <v>107</v>
      </c>
    </row>
    <row r="146" spans="1:10" ht="15" customHeight="1" x14ac:dyDescent="0.25">
      <c r="A146" s="34">
        <v>130</v>
      </c>
      <c r="B146" s="6">
        <f t="shared" ref="B146:B177" si="29">IF(E145&gt;0,MIN($E$5+G146+$H$11,E145+C146),0)</f>
        <v>1291.3749910479357</v>
      </c>
      <c r="C146" s="6">
        <f t="shared" ref="C146:C177" si="30">IF(E145&gt;0,ROUND(E145*$E$4,2),0)</f>
        <v>303.24</v>
      </c>
      <c r="D146" s="6">
        <f t="shared" ref="D146:D177" si="31">IF(E145&gt;0,B146-C146,0)</f>
        <v>988.13499104793573</v>
      </c>
      <c r="E146" s="6">
        <f t="shared" ref="E146:E177" si="32">IF(E145&gt;0,MAX(E145-D146,0),0)</f>
        <v>56643.351163768508</v>
      </c>
      <c r="F146" s="35">
        <f t="shared" ref="F146:F177" si="33">IF(E145&gt;0,$H$5,0)</f>
        <v>150</v>
      </c>
      <c r="G146" s="35">
        <v>0</v>
      </c>
      <c r="H146" s="6">
        <f t="shared" si="28"/>
        <v>1441.3749910479357</v>
      </c>
      <c r="I146" s="36">
        <f t="shared" ref="I146:I177" si="34">IF(E146&gt;0,EDATE($B$8,A146-1),"")</f>
        <v>49583</v>
      </c>
      <c r="J146" s="37" t="s">
        <v>107</v>
      </c>
    </row>
    <row r="147" spans="1:10" ht="15" customHeight="1" x14ac:dyDescent="0.25">
      <c r="A147" s="34">
        <v>131</v>
      </c>
      <c r="B147" s="6">
        <f t="shared" si="29"/>
        <v>1291.3749910479357</v>
      </c>
      <c r="C147" s="6">
        <f t="shared" si="30"/>
        <v>298.04000000000002</v>
      </c>
      <c r="D147" s="6">
        <f t="shared" si="31"/>
        <v>993.33499104793577</v>
      </c>
      <c r="E147" s="6">
        <f t="shared" si="32"/>
        <v>55650.01617272057</v>
      </c>
      <c r="F147" s="35">
        <f t="shared" si="33"/>
        <v>150</v>
      </c>
      <c r="G147" s="35">
        <v>0</v>
      </c>
      <c r="H147" s="6">
        <f t="shared" si="28"/>
        <v>1441.3749910479357</v>
      </c>
      <c r="I147" s="36">
        <f t="shared" si="34"/>
        <v>49614</v>
      </c>
      <c r="J147" s="37" t="s">
        <v>107</v>
      </c>
    </row>
    <row r="148" spans="1:10" ht="15" customHeight="1" x14ac:dyDescent="0.25">
      <c r="A148" s="34">
        <v>132</v>
      </c>
      <c r="B148" s="6">
        <f t="shared" si="29"/>
        <v>1291.3749910479357</v>
      </c>
      <c r="C148" s="6">
        <f t="shared" si="30"/>
        <v>292.81</v>
      </c>
      <c r="D148" s="6">
        <f t="shared" si="31"/>
        <v>998.56499104793579</v>
      </c>
      <c r="E148" s="6">
        <f t="shared" si="32"/>
        <v>54651.451181672637</v>
      </c>
      <c r="F148" s="35">
        <f t="shared" si="33"/>
        <v>150</v>
      </c>
      <c r="G148" s="35">
        <v>0</v>
      </c>
      <c r="H148" s="6">
        <f t="shared" si="28"/>
        <v>1441.3749910479357</v>
      </c>
      <c r="I148" s="36">
        <f t="shared" si="34"/>
        <v>49644</v>
      </c>
      <c r="J148" s="37" t="s">
        <v>107</v>
      </c>
    </row>
    <row r="149" spans="1:10" ht="15" customHeight="1" x14ac:dyDescent="0.25">
      <c r="A149" s="34">
        <v>133</v>
      </c>
      <c r="B149" s="6">
        <f t="shared" si="29"/>
        <v>1291.3749910479357</v>
      </c>
      <c r="C149" s="6">
        <f t="shared" si="30"/>
        <v>287.56</v>
      </c>
      <c r="D149" s="6">
        <f t="shared" si="31"/>
        <v>1003.8149910479358</v>
      </c>
      <c r="E149" s="6">
        <f t="shared" si="32"/>
        <v>53647.636190624704</v>
      </c>
      <c r="F149" s="35">
        <f t="shared" si="33"/>
        <v>150</v>
      </c>
      <c r="G149" s="35">
        <v>0</v>
      </c>
      <c r="H149" s="6">
        <f t="shared" si="28"/>
        <v>1441.3749910479357</v>
      </c>
      <c r="I149" s="36">
        <f t="shared" si="34"/>
        <v>49675</v>
      </c>
      <c r="J149" s="37" t="s">
        <v>107</v>
      </c>
    </row>
    <row r="150" spans="1:10" ht="15" customHeight="1" x14ac:dyDescent="0.25">
      <c r="A150" s="34">
        <v>134</v>
      </c>
      <c r="B150" s="6">
        <f t="shared" si="29"/>
        <v>1291.3749910479357</v>
      </c>
      <c r="C150" s="6">
        <f t="shared" si="30"/>
        <v>282.27999999999997</v>
      </c>
      <c r="D150" s="6">
        <f t="shared" si="31"/>
        <v>1009.0949910479358</v>
      </c>
      <c r="E150" s="6">
        <f t="shared" si="32"/>
        <v>52638.541199576764</v>
      </c>
      <c r="F150" s="35">
        <f t="shared" si="33"/>
        <v>150</v>
      </c>
      <c r="G150" s="35">
        <v>0</v>
      </c>
      <c r="H150" s="6">
        <f t="shared" si="28"/>
        <v>1441.3749910479357</v>
      </c>
      <c r="I150" s="36">
        <f t="shared" si="34"/>
        <v>49706</v>
      </c>
      <c r="J150" s="37" t="s">
        <v>107</v>
      </c>
    </row>
    <row r="151" spans="1:10" ht="15" customHeight="1" x14ac:dyDescent="0.25">
      <c r="A151" s="34">
        <v>135</v>
      </c>
      <c r="B151" s="6">
        <f t="shared" si="29"/>
        <v>1291.3749910479357</v>
      </c>
      <c r="C151" s="6">
        <f t="shared" si="30"/>
        <v>276.97000000000003</v>
      </c>
      <c r="D151" s="6">
        <f t="shared" si="31"/>
        <v>1014.4049910479357</v>
      </c>
      <c r="E151" s="6">
        <f t="shared" si="32"/>
        <v>51624.136208528827</v>
      </c>
      <c r="F151" s="35">
        <f t="shared" si="33"/>
        <v>150</v>
      </c>
      <c r="G151" s="35">
        <v>0</v>
      </c>
      <c r="H151" s="6">
        <f t="shared" si="28"/>
        <v>1441.3749910479357</v>
      </c>
      <c r="I151" s="36">
        <f t="shared" si="34"/>
        <v>49735</v>
      </c>
      <c r="J151" s="37" t="s">
        <v>107</v>
      </c>
    </row>
    <row r="152" spans="1:10" ht="15" customHeight="1" x14ac:dyDescent="0.25">
      <c r="A152" s="34">
        <v>136</v>
      </c>
      <c r="B152" s="6">
        <f t="shared" si="29"/>
        <v>1291.3749910479357</v>
      </c>
      <c r="C152" s="6">
        <f t="shared" si="30"/>
        <v>271.63</v>
      </c>
      <c r="D152" s="6">
        <f t="shared" si="31"/>
        <v>1019.7449910479357</v>
      </c>
      <c r="E152" s="6">
        <f t="shared" si="32"/>
        <v>50604.391217480894</v>
      </c>
      <c r="F152" s="35">
        <f t="shared" si="33"/>
        <v>150</v>
      </c>
      <c r="G152" s="35">
        <v>0</v>
      </c>
      <c r="H152" s="6">
        <f t="shared" si="28"/>
        <v>1441.3749910479357</v>
      </c>
      <c r="I152" s="36">
        <f t="shared" si="34"/>
        <v>49766</v>
      </c>
      <c r="J152" s="37" t="s">
        <v>107</v>
      </c>
    </row>
    <row r="153" spans="1:10" ht="15" customHeight="1" x14ac:dyDescent="0.25">
      <c r="A153" s="34">
        <v>137</v>
      </c>
      <c r="B153" s="6">
        <f t="shared" si="29"/>
        <v>1291.3749910479357</v>
      </c>
      <c r="C153" s="6">
        <f t="shared" si="30"/>
        <v>266.26</v>
      </c>
      <c r="D153" s="6">
        <f t="shared" si="31"/>
        <v>1025.1149910479357</v>
      </c>
      <c r="E153" s="6">
        <f t="shared" si="32"/>
        <v>49579.276226432958</v>
      </c>
      <c r="F153" s="35">
        <f t="shared" si="33"/>
        <v>150</v>
      </c>
      <c r="G153" s="35">
        <v>0</v>
      </c>
      <c r="H153" s="6">
        <f t="shared" si="28"/>
        <v>1441.3749910479357</v>
      </c>
      <c r="I153" s="36">
        <f t="shared" si="34"/>
        <v>49796</v>
      </c>
      <c r="J153" s="37" t="s">
        <v>107</v>
      </c>
    </row>
    <row r="154" spans="1:10" ht="15" customHeight="1" x14ac:dyDescent="0.25">
      <c r="A154" s="34">
        <v>138</v>
      </c>
      <c r="B154" s="6">
        <f t="shared" si="29"/>
        <v>1291.3749910479357</v>
      </c>
      <c r="C154" s="6">
        <f t="shared" si="30"/>
        <v>260.87</v>
      </c>
      <c r="D154" s="6">
        <f t="shared" si="31"/>
        <v>1030.5049910479356</v>
      </c>
      <c r="E154" s="6">
        <f t="shared" si="32"/>
        <v>48548.771235385022</v>
      </c>
      <c r="F154" s="35">
        <f t="shared" si="33"/>
        <v>150</v>
      </c>
      <c r="G154" s="35">
        <v>0</v>
      </c>
      <c r="H154" s="6">
        <f t="shared" si="28"/>
        <v>1441.3749910479357</v>
      </c>
      <c r="I154" s="36">
        <f t="shared" si="34"/>
        <v>49827</v>
      </c>
      <c r="J154" s="37" t="s">
        <v>107</v>
      </c>
    </row>
    <row r="155" spans="1:10" ht="15" customHeight="1" x14ac:dyDescent="0.25">
      <c r="A155" s="34">
        <v>139</v>
      </c>
      <c r="B155" s="6">
        <f t="shared" si="29"/>
        <v>1291.3749910479357</v>
      </c>
      <c r="C155" s="6">
        <f t="shared" si="30"/>
        <v>255.45</v>
      </c>
      <c r="D155" s="6">
        <f t="shared" si="31"/>
        <v>1035.9249910479357</v>
      </c>
      <c r="E155" s="6">
        <f t="shared" si="32"/>
        <v>47512.846244337088</v>
      </c>
      <c r="F155" s="35">
        <f t="shared" si="33"/>
        <v>150</v>
      </c>
      <c r="G155" s="35">
        <v>0</v>
      </c>
      <c r="H155" s="6">
        <f t="shared" si="28"/>
        <v>1441.3749910479357</v>
      </c>
      <c r="I155" s="36">
        <f t="shared" si="34"/>
        <v>49857</v>
      </c>
      <c r="J155" s="37" t="s">
        <v>107</v>
      </c>
    </row>
    <row r="156" spans="1:10" ht="15" customHeight="1" x14ac:dyDescent="0.25">
      <c r="A156" s="34">
        <v>140</v>
      </c>
      <c r="B156" s="6">
        <f t="shared" si="29"/>
        <v>1291.3749910479357</v>
      </c>
      <c r="C156" s="6">
        <f t="shared" si="30"/>
        <v>250</v>
      </c>
      <c r="D156" s="6">
        <f t="shared" si="31"/>
        <v>1041.3749910479357</v>
      </c>
      <c r="E156" s="6">
        <f t="shared" si="32"/>
        <v>46471.47125328915</v>
      </c>
      <c r="F156" s="35">
        <f t="shared" si="33"/>
        <v>150</v>
      </c>
      <c r="G156" s="35">
        <v>0</v>
      </c>
      <c r="H156" s="6">
        <f t="shared" si="28"/>
        <v>1441.3749910479357</v>
      </c>
      <c r="I156" s="36">
        <f t="shared" si="34"/>
        <v>49888</v>
      </c>
      <c r="J156" s="37" t="s">
        <v>107</v>
      </c>
    </row>
    <row r="157" spans="1:10" ht="15" customHeight="1" x14ac:dyDescent="0.25">
      <c r="A157" s="34">
        <v>141</v>
      </c>
      <c r="B157" s="6">
        <f t="shared" si="29"/>
        <v>1291.3749910479357</v>
      </c>
      <c r="C157" s="6">
        <f t="shared" si="30"/>
        <v>244.52</v>
      </c>
      <c r="D157" s="6">
        <f t="shared" si="31"/>
        <v>1046.8549910479358</v>
      </c>
      <c r="E157" s="6">
        <f t="shared" si="32"/>
        <v>45424.616262241216</v>
      </c>
      <c r="F157" s="35">
        <f t="shared" si="33"/>
        <v>150</v>
      </c>
      <c r="G157" s="35">
        <v>0</v>
      </c>
      <c r="H157" s="6">
        <f t="shared" si="28"/>
        <v>1441.3749910479357</v>
      </c>
      <c r="I157" s="36">
        <f t="shared" si="34"/>
        <v>49919</v>
      </c>
      <c r="J157" s="37" t="s">
        <v>107</v>
      </c>
    </row>
    <row r="158" spans="1:10" ht="15" customHeight="1" x14ac:dyDescent="0.25">
      <c r="A158" s="34">
        <v>142</v>
      </c>
      <c r="B158" s="6">
        <f t="shared" si="29"/>
        <v>1291.3749910479357</v>
      </c>
      <c r="C158" s="6">
        <f t="shared" si="30"/>
        <v>239.01</v>
      </c>
      <c r="D158" s="6">
        <f t="shared" si="31"/>
        <v>1052.3649910479357</v>
      </c>
      <c r="E158" s="6">
        <f t="shared" si="32"/>
        <v>44372.25127119328</v>
      </c>
      <c r="F158" s="35">
        <f t="shared" si="33"/>
        <v>150</v>
      </c>
      <c r="G158" s="35">
        <v>0</v>
      </c>
      <c r="H158" s="6">
        <f t="shared" si="28"/>
        <v>1441.3749910479357</v>
      </c>
      <c r="I158" s="36">
        <f t="shared" si="34"/>
        <v>49949</v>
      </c>
      <c r="J158" s="37" t="s">
        <v>107</v>
      </c>
    </row>
    <row r="159" spans="1:10" ht="15" customHeight="1" x14ac:dyDescent="0.25">
      <c r="A159" s="34">
        <v>143</v>
      </c>
      <c r="B159" s="6">
        <f t="shared" si="29"/>
        <v>1291.3749910479357</v>
      </c>
      <c r="C159" s="6">
        <f t="shared" si="30"/>
        <v>233.47</v>
      </c>
      <c r="D159" s="6">
        <f t="shared" si="31"/>
        <v>1057.9049910479357</v>
      </c>
      <c r="E159" s="6">
        <f t="shared" si="32"/>
        <v>43314.346280145342</v>
      </c>
      <c r="F159" s="35">
        <f t="shared" si="33"/>
        <v>150</v>
      </c>
      <c r="G159" s="35">
        <v>0</v>
      </c>
      <c r="H159" s="6">
        <f t="shared" si="28"/>
        <v>1441.3749910479357</v>
      </c>
      <c r="I159" s="36">
        <f t="shared" si="34"/>
        <v>49980</v>
      </c>
      <c r="J159" s="37" t="s">
        <v>107</v>
      </c>
    </row>
    <row r="160" spans="1:10" ht="15" customHeight="1" x14ac:dyDescent="0.25">
      <c r="A160" s="34">
        <v>144</v>
      </c>
      <c r="B160" s="6">
        <f t="shared" si="29"/>
        <v>1291.3749910479357</v>
      </c>
      <c r="C160" s="6">
        <f t="shared" si="30"/>
        <v>227.91</v>
      </c>
      <c r="D160" s="6">
        <f t="shared" si="31"/>
        <v>1063.4649910479357</v>
      </c>
      <c r="E160" s="6">
        <f t="shared" si="32"/>
        <v>42250.881289097408</v>
      </c>
      <c r="F160" s="35">
        <f t="shared" si="33"/>
        <v>150</v>
      </c>
      <c r="G160" s="35">
        <v>0</v>
      </c>
      <c r="H160" s="6">
        <f t="shared" si="28"/>
        <v>1441.3749910479357</v>
      </c>
      <c r="I160" s="36">
        <f t="shared" si="34"/>
        <v>50010</v>
      </c>
      <c r="J160" s="37" t="s">
        <v>107</v>
      </c>
    </row>
    <row r="161" spans="1:10" ht="15" customHeight="1" x14ac:dyDescent="0.25">
      <c r="A161" s="34">
        <v>145</v>
      </c>
      <c r="B161" s="6">
        <f t="shared" si="29"/>
        <v>1291.3749910479357</v>
      </c>
      <c r="C161" s="6">
        <f t="shared" si="30"/>
        <v>222.31</v>
      </c>
      <c r="D161" s="6">
        <f t="shared" si="31"/>
        <v>1069.0649910479358</v>
      </c>
      <c r="E161" s="6">
        <f t="shared" si="32"/>
        <v>41181.816298049474</v>
      </c>
      <c r="F161" s="35">
        <f t="shared" si="33"/>
        <v>150</v>
      </c>
      <c r="G161" s="35">
        <v>0</v>
      </c>
      <c r="H161" s="6">
        <f t="shared" si="28"/>
        <v>1441.3749910479357</v>
      </c>
      <c r="I161" s="36">
        <f t="shared" si="34"/>
        <v>50041</v>
      </c>
      <c r="J161" s="37" t="s">
        <v>107</v>
      </c>
    </row>
    <row r="162" spans="1:10" ht="15" customHeight="1" x14ac:dyDescent="0.25">
      <c r="A162" s="34">
        <v>146</v>
      </c>
      <c r="B162" s="6">
        <f t="shared" si="29"/>
        <v>1291.3749910479357</v>
      </c>
      <c r="C162" s="6">
        <f t="shared" si="30"/>
        <v>216.69</v>
      </c>
      <c r="D162" s="6">
        <f t="shared" si="31"/>
        <v>1074.6849910479357</v>
      </c>
      <c r="E162" s="6">
        <f t="shared" si="32"/>
        <v>40107.131307001539</v>
      </c>
      <c r="F162" s="35">
        <f t="shared" si="33"/>
        <v>150</v>
      </c>
      <c r="G162" s="35">
        <v>0</v>
      </c>
      <c r="H162" s="6">
        <f t="shared" si="28"/>
        <v>1441.3749910479357</v>
      </c>
      <c r="I162" s="36">
        <f t="shared" si="34"/>
        <v>50072</v>
      </c>
      <c r="J162" s="37" t="s">
        <v>107</v>
      </c>
    </row>
    <row r="163" spans="1:10" ht="15" customHeight="1" x14ac:dyDescent="0.25">
      <c r="A163" s="34">
        <v>147</v>
      </c>
      <c r="B163" s="6">
        <f t="shared" si="29"/>
        <v>1291.3749910479357</v>
      </c>
      <c r="C163" s="6">
        <f t="shared" si="30"/>
        <v>211.03</v>
      </c>
      <c r="D163" s="6">
        <f t="shared" si="31"/>
        <v>1080.3449910479358</v>
      </c>
      <c r="E163" s="6">
        <f t="shared" si="32"/>
        <v>39026.786315953606</v>
      </c>
      <c r="F163" s="35">
        <f t="shared" si="33"/>
        <v>150</v>
      </c>
      <c r="G163" s="35">
        <v>0</v>
      </c>
      <c r="H163" s="6">
        <f t="shared" si="28"/>
        <v>1441.3749910479357</v>
      </c>
      <c r="I163" s="36">
        <f t="shared" si="34"/>
        <v>50100</v>
      </c>
      <c r="J163" s="37" t="s">
        <v>107</v>
      </c>
    </row>
    <row r="164" spans="1:10" ht="15" customHeight="1" x14ac:dyDescent="0.25">
      <c r="A164" s="34">
        <v>148</v>
      </c>
      <c r="B164" s="6">
        <f t="shared" si="29"/>
        <v>1291.3749910479357</v>
      </c>
      <c r="C164" s="6">
        <f t="shared" si="30"/>
        <v>205.35</v>
      </c>
      <c r="D164" s="6">
        <f t="shared" si="31"/>
        <v>1086.0249910479358</v>
      </c>
      <c r="E164" s="6">
        <f t="shared" si="32"/>
        <v>37940.761324905674</v>
      </c>
      <c r="F164" s="35">
        <f t="shared" si="33"/>
        <v>150</v>
      </c>
      <c r="G164" s="35">
        <v>0</v>
      </c>
      <c r="H164" s="6">
        <f t="shared" si="28"/>
        <v>1441.3749910479357</v>
      </c>
      <c r="I164" s="36">
        <f t="shared" si="34"/>
        <v>50131</v>
      </c>
      <c r="J164" s="37" t="s">
        <v>107</v>
      </c>
    </row>
    <row r="165" spans="1:10" ht="15" customHeight="1" x14ac:dyDescent="0.25">
      <c r="A165" s="34">
        <v>149</v>
      </c>
      <c r="B165" s="6">
        <f t="shared" si="29"/>
        <v>1291.3749910479357</v>
      </c>
      <c r="C165" s="6">
        <f t="shared" si="30"/>
        <v>199.63</v>
      </c>
      <c r="D165" s="6">
        <f t="shared" si="31"/>
        <v>1091.7449910479359</v>
      </c>
      <c r="E165" s="6">
        <f t="shared" si="32"/>
        <v>36849.01633385774</v>
      </c>
      <c r="F165" s="35">
        <f t="shared" si="33"/>
        <v>150</v>
      </c>
      <c r="G165" s="35">
        <v>0</v>
      </c>
      <c r="H165" s="6">
        <f t="shared" si="28"/>
        <v>1441.3749910479357</v>
      </c>
      <c r="I165" s="36">
        <f t="shared" si="34"/>
        <v>50161</v>
      </c>
      <c r="J165" s="37" t="s">
        <v>107</v>
      </c>
    </row>
    <row r="166" spans="1:10" ht="15" customHeight="1" x14ac:dyDescent="0.25">
      <c r="A166" s="34">
        <v>150</v>
      </c>
      <c r="B166" s="6">
        <f t="shared" si="29"/>
        <v>1291.3749910479357</v>
      </c>
      <c r="C166" s="6">
        <f t="shared" si="30"/>
        <v>193.89</v>
      </c>
      <c r="D166" s="6">
        <f t="shared" si="31"/>
        <v>1097.4849910479356</v>
      </c>
      <c r="E166" s="6">
        <f t="shared" si="32"/>
        <v>35751.531342809802</v>
      </c>
      <c r="F166" s="35">
        <f t="shared" si="33"/>
        <v>150</v>
      </c>
      <c r="G166" s="35">
        <v>0</v>
      </c>
      <c r="H166" s="6">
        <f t="shared" si="28"/>
        <v>1441.3749910479357</v>
      </c>
      <c r="I166" s="36">
        <f t="shared" si="34"/>
        <v>50192</v>
      </c>
      <c r="J166" s="37" t="s">
        <v>107</v>
      </c>
    </row>
    <row r="167" spans="1:10" ht="15" customHeight="1" x14ac:dyDescent="0.25">
      <c r="A167" s="34">
        <v>151</v>
      </c>
      <c r="B167" s="6">
        <f t="shared" si="29"/>
        <v>1291.3749910479357</v>
      </c>
      <c r="C167" s="6">
        <f t="shared" si="30"/>
        <v>188.11</v>
      </c>
      <c r="D167" s="6">
        <f t="shared" si="31"/>
        <v>1103.2649910479358</v>
      </c>
      <c r="E167" s="6">
        <f t="shared" si="32"/>
        <v>34648.266351761864</v>
      </c>
      <c r="F167" s="35">
        <f t="shared" si="33"/>
        <v>150</v>
      </c>
      <c r="G167" s="35">
        <v>0</v>
      </c>
      <c r="H167" s="6">
        <f t="shared" si="28"/>
        <v>1441.3749910479357</v>
      </c>
      <c r="I167" s="36">
        <f t="shared" si="34"/>
        <v>50222</v>
      </c>
      <c r="J167" s="37" t="s">
        <v>107</v>
      </c>
    </row>
    <row r="168" spans="1:10" ht="15" customHeight="1" x14ac:dyDescent="0.25">
      <c r="A168" s="34">
        <v>152</v>
      </c>
      <c r="B168" s="6">
        <f t="shared" si="29"/>
        <v>1291.3749910479357</v>
      </c>
      <c r="C168" s="6">
        <f t="shared" si="30"/>
        <v>182.31</v>
      </c>
      <c r="D168" s="6">
        <f t="shared" si="31"/>
        <v>1109.0649910479358</v>
      </c>
      <c r="E168" s="6">
        <f t="shared" si="32"/>
        <v>33539.201360713931</v>
      </c>
      <c r="F168" s="35">
        <f t="shared" si="33"/>
        <v>150</v>
      </c>
      <c r="G168" s="35">
        <v>0</v>
      </c>
      <c r="H168" s="6">
        <f t="shared" si="28"/>
        <v>1441.3749910479357</v>
      </c>
      <c r="I168" s="36">
        <f t="shared" si="34"/>
        <v>50253</v>
      </c>
      <c r="J168" s="37" t="s">
        <v>107</v>
      </c>
    </row>
    <row r="169" spans="1:10" ht="15" customHeight="1" x14ac:dyDescent="0.25">
      <c r="A169" s="34">
        <v>153</v>
      </c>
      <c r="B169" s="6">
        <f t="shared" si="29"/>
        <v>1291.3749910479357</v>
      </c>
      <c r="C169" s="6">
        <f t="shared" si="30"/>
        <v>176.47</v>
      </c>
      <c r="D169" s="6">
        <f t="shared" si="31"/>
        <v>1114.9049910479357</v>
      </c>
      <c r="E169" s="6">
        <f t="shared" si="32"/>
        <v>32424.296369665994</v>
      </c>
      <c r="F169" s="35">
        <f t="shared" si="33"/>
        <v>150</v>
      </c>
      <c r="G169" s="35">
        <v>0</v>
      </c>
      <c r="H169" s="6">
        <f t="shared" si="28"/>
        <v>1441.3749910479357</v>
      </c>
      <c r="I169" s="36">
        <f t="shared" si="34"/>
        <v>50284</v>
      </c>
      <c r="J169" s="37" t="s">
        <v>107</v>
      </c>
    </row>
    <row r="170" spans="1:10" ht="15" customHeight="1" x14ac:dyDescent="0.25">
      <c r="A170" s="34">
        <v>154</v>
      </c>
      <c r="B170" s="6">
        <f t="shared" si="29"/>
        <v>1291.3749910479357</v>
      </c>
      <c r="C170" s="6">
        <f t="shared" si="30"/>
        <v>170.61</v>
      </c>
      <c r="D170" s="6">
        <f t="shared" si="31"/>
        <v>1120.7649910479358</v>
      </c>
      <c r="E170" s="6">
        <f t="shared" si="32"/>
        <v>31303.531378618056</v>
      </c>
      <c r="F170" s="35">
        <f t="shared" si="33"/>
        <v>150</v>
      </c>
      <c r="G170" s="35">
        <v>0</v>
      </c>
      <c r="H170" s="6">
        <f t="shared" si="28"/>
        <v>1441.3749910479357</v>
      </c>
      <c r="I170" s="36">
        <f t="shared" si="34"/>
        <v>50314</v>
      </c>
      <c r="J170" s="37" t="s">
        <v>107</v>
      </c>
    </row>
    <row r="171" spans="1:10" ht="15" customHeight="1" x14ac:dyDescent="0.25">
      <c r="A171" s="34">
        <v>155</v>
      </c>
      <c r="B171" s="6">
        <f t="shared" si="29"/>
        <v>1291.3749910479357</v>
      </c>
      <c r="C171" s="6">
        <f t="shared" si="30"/>
        <v>164.71</v>
      </c>
      <c r="D171" s="6">
        <f t="shared" si="31"/>
        <v>1126.6649910479357</v>
      </c>
      <c r="E171" s="6">
        <f t="shared" si="32"/>
        <v>30176.86638757012</v>
      </c>
      <c r="F171" s="35">
        <f t="shared" si="33"/>
        <v>150</v>
      </c>
      <c r="G171" s="35">
        <v>0</v>
      </c>
      <c r="H171" s="6">
        <f t="shared" si="28"/>
        <v>1441.3749910479357</v>
      </c>
      <c r="I171" s="36">
        <f t="shared" si="34"/>
        <v>50345</v>
      </c>
      <c r="J171" s="37" t="s">
        <v>107</v>
      </c>
    </row>
    <row r="172" spans="1:10" ht="15" customHeight="1" x14ac:dyDescent="0.25">
      <c r="A172" s="34">
        <v>156</v>
      </c>
      <c r="B172" s="6">
        <f t="shared" si="29"/>
        <v>1291.3749910479357</v>
      </c>
      <c r="C172" s="6">
        <f t="shared" si="30"/>
        <v>158.78</v>
      </c>
      <c r="D172" s="6">
        <f t="shared" si="31"/>
        <v>1132.5949910479358</v>
      </c>
      <c r="E172" s="6">
        <f t="shared" si="32"/>
        <v>29044.271396522185</v>
      </c>
      <c r="F172" s="35">
        <f t="shared" si="33"/>
        <v>150</v>
      </c>
      <c r="G172" s="35">
        <v>0</v>
      </c>
      <c r="H172" s="6">
        <f t="shared" si="28"/>
        <v>1441.3749910479357</v>
      </c>
      <c r="I172" s="36">
        <f t="shared" si="34"/>
        <v>50375</v>
      </c>
      <c r="J172" s="37" t="s">
        <v>107</v>
      </c>
    </row>
    <row r="173" spans="1:10" ht="15" customHeight="1" x14ac:dyDescent="0.25">
      <c r="A173" s="34">
        <v>157</v>
      </c>
      <c r="B173" s="6">
        <f t="shared" si="29"/>
        <v>1291.3749910479357</v>
      </c>
      <c r="C173" s="6">
        <f t="shared" si="30"/>
        <v>152.82</v>
      </c>
      <c r="D173" s="6">
        <f t="shared" si="31"/>
        <v>1138.5549910479358</v>
      </c>
      <c r="E173" s="6">
        <f t="shared" si="32"/>
        <v>27905.71640547425</v>
      </c>
      <c r="F173" s="35">
        <f t="shared" si="33"/>
        <v>150</v>
      </c>
      <c r="G173" s="35">
        <v>0</v>
      </c>
      <c r="H173" s="6">
        <f t="shared" si="28"/>
        <v>1441.3749910479357</v>
      </c>
      <c r="I173" s="36">
        <f t="shared" si="34"/>
        <v>50406</v>
      </c>
      <c r="J173" s="37" t="s">
        <v>107</v>
      </c>
    </row>
    <row r="174" spans="1:10" ht="15" customHeight="1" x14ac:dyDescent="0.25">
      <c r="A174" s="34">
        <v>158</v>
      </c>
      <c r="B174" s="6">
        <f t="shared" si="29"/>
        <v>1291.3749910479357</v>
      </c>
      <c r="C174" s="6">
        <f t="shared" si="30"/>
        <v>146.83000000000001</v>
      </c>
      <c r="D174" s="6">
        <f t="shared" si="31"/>
        <v>1144.5449910479358</v>
      </c>
      <c r="E174" s="6">
        <f t="shared" si="32"/>
        <v>26761.171414426313</v>
      </c>
      <c r="F174" s="35">
        <f t="shared" si="33"/>
        <v>150</v>
      </c>
      <c r="G174" s="35">
        <v>0</v>
      </c>
      <c r="H174" s="6">
        <f t="shared" si="28"/>
        <v>1441.3749910479357</v>
      </c>
      <c r="I174" s="36">
        <f t="shared" si="34"/>
        <v>50437</v>
      </c>
      <c r="J174" s="37" t="s">
        <v>107</v>
      </c>
    </row>
    <row r="175" spans="1:10" ht="15" customHeight="1" x14ac:dyDescent="0.25">
      <c r="A175" s="34">
        <v>159</v>
      </c>
      <c r="B175" s="6">
        <f t="shared" si="29"/>
        <v>1291.3749910479357</v>
      </c>
      <c r="C175" s="6">
        <f t="shared" si="30"/>
        <v>140.81</v>
      </c>
      <c r="D175" s="6">
        <f t="shared" si="31"/>
        <v>1150.5649910479358</v>
      </c>
      <c r="E175" s="6">
        <f t="shared" si="32"/>
        <v>25610.606423378376</v>
      </c>
      <c r="F175" s="35">
        <f t="shared" si="33"/>
        <v>150</v>
      </c>
      <c r="G175" s="35">
        <v>0</v>
      </c>
      <c r="H175" s="6">
        <f t="shared" si="28"/>
        <v>1441.3749910479357</v>
      </c>
      <c r="I175" s="36">
        <f t="shared" si="34"/>
        <v>50465</v>
      </c>
      <c r="J175" s="37" t="s">
        <v>107</v>
      </c>
    </row>
    <row r="176" spans="1:10" ht="15" customHeight="1" x14ac:dyDescent="0.25">
      <c r="A176" s="34">
        <v>160</v>
      </c>
      <c r="B176" s="6">
        <f t="shared" si="29"/>
        <v>1291.3749910479357</v>
      </c>
      <c r="C176" s="6">
        <f t="shared" si="30"/>
        <v>134.76</v>
      </c>
      <c r="D176" s="6">
        <f t="shared" si="31"/>
        <v>1156.6149910479357</v>
      </c>
      <c r="E176" s="6">
        <f t="shared" si="32"/>
        <v>24453.99143233044</v>
      </c>
      <c r="F176" s="35">
        <f t="shared" si="33"/>
        <v>150</v>
      </c>
      <c r="G176" s="35">
        <v>0</v>
      </c>
      <c r="H176" s="6">
        <f t="shared" si="28"/>
        <v>1441.3749910479357</v>
      </c>
      <c r="I176" s="36">
        <f t="shared" si="34"/>
        <v>50496</v>
      </c>
      <c r="J176" s="37" t="s">
        <v>107</v>
      </c>
    </row>
    <row r="177" spans="1:10" ht="15" customHeight="1" x14ac:dyDescent="0.25">
      <c r="A177" s="34">
        <v>161</v>
      </c>
      <c r="B177" s="6">
        <f t="shared" si="29"/>
        <v>1291.3749910479357</v>
      </c>
      <c r="C177" s="6">
        <f t="shared" si="30"/>
        <v>128.66999999999999</v>
      </c>
      <c r="D177" s="6">
        <f t="shared" si="31"/>
        <v>1162.7049910479357</v>
      </c>
      <c r="E177" s="6">
        <f t="shared" si="32"/>
        <v>23291.286441282504</v>
      </c>
      <c r="F177" s="35">
        <f t="shared" si="33"/>
        <v>150</v>
      </c>
      <c r="G177" s="35">
        <v>0</v>
      </c>
      <c r="H177" s="6">
        <f t="shared" ref="H177:H208" si="35">IF(B177&gt;0,B177+F177,0)</f>
        <v>1441.3749910479357</v>
      </c>
      <c r="I177" s="36">
        <f t="shared" si="34"/>
        <v>50526</v>
      </c>
      <c r="J177" s="37" t="s">
        <v>107</v>
      </c>
    </row>
    <row r="178" spans="1:10" ht="15" customHeight="1" x14ac:dyDescent="0.25">
      <c r="A178" s="34">
        <v>162</v>
      </c>
      <c r="B178" s="6">
        <f t="shared" ref="B178:B209" si="36">IF(E177&gt;0,MIN($E$5+G178+$H$11,E177+C178),0)</f>
        <v>1291.3749910479357</v>
      </c>
      <c r="C178" s="6">
        <f t="shared" ref="C178:C209" si="37">IF(E177&gt;0,ROUND(E177*$E$4,2),0)</f>
        <v>122.55</v>
      </c>
      <c r="D178" s="6">
        <f t="shared" ref="D178:D209" si="38">IF(E177&gt;0,B178-C178,0)</f>
        <v>1168.8249910479358</v>
      </c>
      <c r="E178" s="6">
        <f t="shared" ref="E178:E209" si="39">IF(E177&gt;0,MAX(E177-D178,0),0)</f>
        <v>22122.461450234568</v>
      </c>
      <c r="F178" s="35">
        <f t="shared" ref="F178:F209" si="40">IF(E177&gt;0,$H$5,0)</f>
        <v>150</v>
      </c>
      <c r="G178" s="35">
        <v>0</v>
      </c>
      <c r="H178" s="6">
        <f t="shared" si="35"/>
        <v>1441.3749910479357</v>
      </c>
      <c r="I178" s="36">
        <f t="shared" ref="I178:I209" si="41">IF(E178&gt;0,EDATE($B$8,A178-1),"")</f>
        <v>50557</v>
      </c>
      <c r="J178" s="37" t="s">
        <v>107</v>
      </c>
    </row>
    <row r="179" spans="1:10" ht="15" customHeight="1" x14ac:dyDescent="0.25">
      <c r="A179" s="34">
        <v>163</v>
      </c>
      <c r="B179" s="6">
        <f t="shared" si="36"/>
        <v>1291.3749910479357</v>
      </c>
      <c r="C179" s="6">
        <f t="shared" si="37"/>
        <v>116.4</v>
      </c>
      <c r="D179" s="6">
        <f t="shared" si="38"/>
        <v>1174.9749910479356</v>
      </c>
      <c r="E179" s="6">
        <f t="shared" si="39"/>
        <v>20947.486459186632</v>
      </c>
      <c r="F179" s="35">
        <f t="shared" si="40"/>
        <v>150</v>
      </c>
      <c r="G179" s="35">
        <v>0</v>
      </c>
      <c r="H179" s="6">
        <f t="shared" si="35"/>
        <v>1441.3749910479357</v>
      </c>
      <c r="I179" s="36">
        <f t="shared" si="41"/>
        <v>50587</v>
      </c>
      <c r="J179" s="37" t="s">
        <v>107</v>
      </c>
    </row>
    <row r="180" spans="1:10" ht="15" customHeight="1" x14ac:dyDescent="0.25">
      <c r="A180" s="34">
        <v>164</v>
      </c>
      <c r="B180" s="6">
        <f t="shared" si="36"/>
        <v>1291.3749910479357</v>
      </c>
      <c r="C180" s="6">
        <f t="shared" si="37"/>
        <v>110.22</v>
      </c>
      <c r="D180" s="6">
        <f t="shared" si="38"/>
        <v>1181.1549910479357</v>
      </c>
      <c r="E180" s="6">
        <f t="shared" si="39"/>
        <v>19766.331468138695</v>
      </c>
      <c r="F180" s="35">
        <f t="shared" si="40"/>
        <v>150</v>
      </c>
      <c r="G180" s="35">
        <v>0</v>
      </c>
      <c r="H180" s="6">
        <f t="shared" si="35"/>
        <v>1441.3749910479357</v>
      </c>
      <c r="I180" s="36">
        <f t="shared" si="41"/>
        <v>50618</v>
      </c>
      <c r="J180" s="37" t="s">
        <v>107</v>
      </c>
    </row>
    <row r="181" spans="1:10" ht="15" customHeight="1" x14ac:dyDescent="0.25">
      <c r="A181" s="34">
        <v>165</v>
      </c>
      <c r="B181" s="6">
        <f t="shared" si="36"/>
        <v>1291.3749910479357</v>
      </c>
      <c r="C181" s="6">
        <f t="shared" si="37"/>
        <v>104</v>
      </c>
      <c r="D181" s="6">
        <f t="shared" si="38"/>
        <v>1187.3749910479357</v>
      </c>
      <c r="E181" s="6">
        <f t="shared" si="39"/>
        <v>18578.95647709076</v>
      </c>
      <c r="F181" s="35">
        <f t="shared" si="40"/>
        <v>150</v>
      </c>
      <c r="G181" s="35">
        <v>0</v>
      </c>
      <c r="H181" s="6">
        <f t="shared" si="35"/>
        <v>1441.3749910479357</v>
      </c>
      <c r="I181" s="36">
        <f t="shared" si="41"/>
        <v>50649</v>
      </c>
      <c r="J181" s="37" t="s">
        <v>107</v>
      </c>
    </row>
    <row r="182" spans="1:10" ht="15" customHeight="1" x14ac:dyDescent="0.25">
      <c r="A182" s="34">
        <v>166</v>
      </c>
      <c r="B182" s="6">
        <f t="shared" si="36"/>
        <v>1291.3749910479357</v>
      </c>
      <c r="C182" s="6">
        <f t="shared" si="37"/>
        <v>97.76</v>
      </c>
      <c r="D182" s="6">
        <f t="shared" si="38"/>
        <v>1193.6149910479357</v>
      </c>
      <c r="E182" s="6">
        <f t="shared" si="39"/>
        <v>17385.341486042824</v>
      </c>
      <c r="F182" s="35">
        <f t="shared" si="40"/>
        <v>150</v>
      </c>
      <c r="G182" s="35">
        <v>0</v>
      </c>
      <c r="H182" s="6">
        <f t="shared" si="35"/>
        <v>1441.3749910479357</v>
      </c>
      <c r="I182" s="36">
        <f t="shared" si="41"/>
        <v>50679</v>
      </c>
      <c r="J182" s="37" t="s">
        <v>107</v>
      </c>
    </row>
    <row r="183" spans="1:10" ht="15" customHeight="1" x14ac:dyDescent="0.25">
      <c r="A183" s="34">
        <v>167</v>
      </c>
      <c r="B183" s="6">
        <f t="shared" si="36"/>
        <v>1291.3749910479357</v>
      </c>
      <c r="C183" s="6">
        <f t="shared" si="37"/>
        <v>91.48</v>
      </c>
      <c r="D183" s="6">
        <f t="shared" si="38"/>
        <v>1199.8949910479357</v>
      </c>
      <c r="E183" s="6">
        <f t="shared" si="39"/>
        <v>16185.446494994889</v>
      </c>
      <c r="F183" s="35">
        <f t="shared" si="40"/>
        <v>150</v>
      </c>
      <c r="G183" s="35">
        <v>0</v>
      </c>
      <c r="H183" s="6">
        <f t="shared" si="35"/>
        <v>1441.3749910479357</v>
      </c>
      <c r="I183" s="36">
        <f t="shared" si="41"/>
        <v>50710</v>
      </c>
      <c r="J183" s="37" t="s">
        <v>107</v>
      </c>
    </row>
    <row r="184" spans="1:10" ht="15" customHeight="1" x14ac:dyDescent="0.25">
      <c r="A184" s="34">
        <v>168</v>
      </c>
      <c r="B184" s="6">
        <f t="shared" si="36"/>
        <v>1291.3749910479357</v>
      </c>
      <c r="C184" s="6">
        <f t="shared" si="37"/>
        <v>85.16</v>
      </c>
      <c r="D184" s="6">
        <f t="shared" si="38"/>
        <v>1206.2149910479357</v>
      </c>
      <c r="E184" s="6">
        <f t="shared" si="39"/>
        <v>14979.231503946954</v>
      </c>
      <c r="F184" s="35">
        <f t="shared" si="40"/>
        <v>150</v>
      </c>
      <c r="G184" s="35">
        <v>0</v>
      </c>
      <c r="H184" s="6">
        <f t="shared" si="35"/>
        <v>1441.3749910479357</v>
      </c>
      <c r="I184" s="36">
        <f t="shared" si="41"/>
        <v>50740</v>
      </c>
      <c r="J184" s="37" t="s">
        <v>107</v>
      </c>
    </row>
    <row r="185" spans="1:10" ht="15" customHeight="1" x14ac:dyDescent="0.25">
      <c r="A185" s="34">
        <v>169</v>
      </c>
      <c r="B185" s="6">
        <f t="shared" si="36"/>
        <v>1291.3749910479357</v>
      </c>
      <c r="C185" s="6">
        <f t="shared" si="37"/>
        <v>78.819999999999993</v>
      </c>
      <c r="D185" s="6">
        <f t="shared" si="38"/>
        <v>1212.5549910479358</v>
      </c>
      <c r="E185" s="6">
        <f t="shared" si="39"/>
        <v>13766.676512899019</v>
      </c>
      <c r="F185" s="35">
        <f t="shared" si="40"/>
        <v>150</v>
      </c>
      <c r="G185" s="35">
        <v>0</v>
      </c>
      <c r="H185" s="6">
        <f t="shared" si="35"/>
        <v>1441.3749910479357</v>
      </c>
      <c r="I185" s="36">
        <f t="shared" si="41"/>
        <v>50771</v>
      </c>
      <c r="J185" s="37" t="s">
        <v>107</v>
      </c>
    </row>
    <row r="186" spans="1:10" ht="15" customHeight="1" x14ac:dyDescent="0.25">
      <c r="A186" s="34">
        <v>170</v>
      </c>
      <c r="B186" s="6">
        <f t="shared" si="36"/>
        <v>1291.3749910479357</v>
      </c>
      <c r="C186" s="6">
        <f t="shared" si="37"/>
        <v>72.44</v>
      </c>
      <c r="D186" s="6">
        <f t="shared" si="38"/>
        <v>1218.9349910479357</v>
      </c>
      <c r="E186" s="6">
        <f t="shared" si="39"/>
        <v>12547.741521851083</v>
      </c>
      <c r="F186" s="35">
        <f t="shared" si="40"/>
        <v>150</v>
      </c>
      <c r="G186" s="35">
        <v>0</v>
      </c>
      <c r="H186" s="6">
        <f t="shared" si="35"/>
        <v>1441.3749910479357</v>
      </c>
      <c r="I186" s="36">
        <f t="shared" si="41"/>
        <v>50802</v>
      </c>
      <c r="J186" s="37" t="s">
        <v>107</v>
      </c>
    </row>
    <row r="187" spans="1:10" ht="15" customHeight="1" x14ac:dyDescent="0.25">
      <c r="A187" s="34">
        <v>171</v>
      </c>
      <c r="B187" s="6">
        <f t="shared" si="36"/>
        <v>1291.3749910479357</v>
      </c>
      <c r="C187" s="6">
        <f t="shared" si="37"/>
        <v>66.02</v>
      </c>
      <c r="D187" s="6">
        <f t="shared" si="38"/>
        <v>1225.3549910479358</v>
      </c>
      <c r="E187" s="6">
        <f t="shared" si="39"/>
        <v>11322.386530803147</v>
      </c>
      <c r="F187" s="35">
        <f t="shared" si="40"/>
        <v>150</v>
      </c>
      <c r="G187" s="35">
        <v>0</v>
      </c>
      <c r="H187" s="6">
        <f t="shared" si="35"/>
        <v>1441.3749910479357</v>
      </c>
      <c r="I187" s="36">
        <f t="shared" si="41"/>
        <v>50830</v>
      </c>
      <c r="J187" s="37" t="s">
        <v>107</v>
      </c>
    </row>
    <row r="188" spans="1:10" ht="15" customHeight="1" x14ac:dyDescent="0.25">
      <c r="A188" s="34">
        <v>172</v>
      </c>
      <c r="B188" s="6">
        <f t="shared" si="36"/>
        <v>1291.3749910479357</v>
      </c>
      <c r="C188" s="6">
        <f t="shared" si="37"/>
        <v>59.57</v>
      </c>
      <c r="D188" s="6">
        <f t="shared" si="38"/>
        <v>1231.8049910479358</v>
      </c>
      <c r="E188" s="6">
        <f t="shared" si="39"/>
        <v>10090.581539755211</v>
      </c>
      <c r="F188" s="35">
        <f t="shared" si="40"/>
        <v>150</v>
      </c>
      <c r="G188" s="35">
        <v>0</v>
      </c>
      <c r="H188" s="6">
        <f t="shared" si="35"/>
        <v>1441.3749910479357</v>
      </c>
      <c r="I188" s="36">
        <f t="shared" si="41"/>
        <v>50861</v>
      </c>
      <c r="J188" s="37" t="s">
        <v>107</v>
      </c>
    </row>
    <row r="189" spans="1:10" ht="15" customHeight="1" x14ac:dyDescent="0.25">
      <c r="A189" s="34">
        <v>173</v>
      </c>
      <c r="B189" s="6">
        <f t="shared" si="36"/>
        <v>1291.3749910479357</v>
      </c>
      <c r="C189" s="6">
        <f t="shared" si="37"/>
        <v>53.09</v>
      </c>
      <c r="D189" s="6">
        <f t="shared" si="38"/>
        <v>1238.2849910479358</v>
      </c>
      <c r="E189" s="6">
        <f t="shared" si="39"/>
        <v>8852.2965487072743</v>
      </c>
      <c r="F189" s="35">
        <f t="shared" si="40"/>
        <v>150</v>
      </c>
      <c r="G189" s="35">
        <v>0</v>
      </c>
      <c r="H189" s="6">
        <f t="shared" si="35"/>
        <v>1441.3749910479357</v>
      </c>
      <c r="I189" s="36">
        <f t="shared" si="41"/>
        <v>50891</v>
      </c>
      <c r="J189" s="37" t="s">
        <v>107</v>
      </c>
    </row>
    <row r="190" spans="1:10" ht="15" customHeight="1" x14ac:dyDescent="0.25">
      <c r="A190" s="34">
        <v>174</v>
      </c>
      <c r="B190" s="6">
        <f t="shared" si="36"/>
        <v>1291.3749910479357</v>
      </c>
      <c r="C190" s="6">
        <f t="shared" si="37"/>
        <v>46.58</v>
      </c>
      <c r="D190" s="6">
        <f t="shared" si="38"/>
        <v>1244.7949910479358</v>
      </c>
      <c r="E190" s="6">
        <f t="shared" si="39"/>
        <v>7607.5015576593387</v>
      </c>
      <c r="F190" s="35">
        <f t="shared" si="40"/>
        <v>150</v>
      </c>
      <c r="G190" s="35">
        <v>0</v>
      </c>
      <c r="H190" s="6">
        <f t="shared" si="35"/>
        <v>1441.3749910479357</v>
      </c>
      <c r="I190" s="36">
        <f t="shared" si="41"/>
        <v>50922</v>
      </c>
      <c r="J190" s="37" t="s">
        <v>107</v>
      </c>
    </row>
    <row r="191" spans="1:10" ht="15" customHeight="1" x14ac:dyDescent="0.25">
      <c r="A191" s="34">
        <v>175</v>
      </c>
      <c r="B191" s="6">
        <f t="shared" si="36"/>
        <v>1291.3749910479357</v>
      </c>
      <c r="C191" s="6">
        <f t="shared" si="37"/>
        <v>40.03</v>
      </c>
      <c r="D191" s="6">
        <f t="shared" si="38"/>
        <v>1251.3449910479358</v>
      </c>
      <c r="E191" s="6">
        <f t="shared" si="39"/>
        <v>6356.1565666114029</v>
      </c>
      <c r="F191" s="35">
        <f t="shared" si="40"/>
        <v>150</v>
      </c>
      <c r="G191" s="35">
        <v>0</v>
      </c>
      <c r="H191" s="6">
        <f t="shared" si="35"/>
        <v>1441.3749910479357</v>
      </c>
      <c r="I191" s="36">
        <f t="shared" si="41"/>
        <v>50952</v>
      </c>
      <c r="J191" s="37" t="s">
        <v>107</v>
      </c>
    </row>
    <row r="192" spans="1:10" ht="15" customHeight="1" x14ac:dyDescent="0.25">
      <c r="A192" s="34">
        <v>176</v>
      </c>
      <c r="B192" s="6">
        <f t="shared" si="36"/>
        <v>1291.3749910479357</v>
      </c>
      <c r="C192" s="6">
        <f t="shared" si="37"/>
        <v>33.44</v>
      </c>
      <c r="D192" s="6">
        <f t="shared" si="38"/>
        <v>1257.9349910479357</v>
      </c>
      <c r="E192" s="6">
        <f t="shared" si="39"/>
        <v>5098.221575563467</v>
      </c>
      <c r="F192" s="35">
        <f t="shared" si="40"/>
        <v>150</v>
      </c>
      <c r="G192" s="35">
        <v>0</v>
      </c>
      <c r="H192" s="6">
        <f t="shared" si="35"/>
        <v>1441.3749910479357</v>
      </c>
      <c r="I192" s="36">
        <f t="shared" si="41"/>
        <v>50983</v>
      </c>
      <c r="J192" s="37" t="s">
        <v>107</v>
      </c>
    </row>
    <row r="193" spans="1:10" ht="15" customHeight="1" x14ac:dyDescent="0.25">
      <c r="A193" s="34">
        <v>177</v>
      </c>
      <c r="B193" s="6">
        <f t="shared" si="36"/>
        <v>1291.3749910479357</v>
      </c>
      <c r="C193" s="6">
        <f t="shared" si="37"/>
        <v>26.83</v>
      </c>
      <c r="D193" s="6">
        <f t="shared" si="38"/>
        <v>1264.5449910479358</v>
      </c>
      <c r="E193" s="6">
        <f t="shared" si="39"/>
        <v>3833.6765845155314</v>
      </c>
      <c r="F193" s="35">
        <f t="shared" si="40"/>
        <v>150</v>
      </c>
      <c r="G193" s="35">
        <v>0</v>
      </c>
      <c r="H193" s="6">
        <f t="shared" si="35"/>
        <v>1441.3749910479357</v>
      </c>
      <c r="I193" s="36">
        <f t="shared" si="41"/>
        <v>51014</v>
      </c>
      <c r="J193" s="37" t="s">
        <v>107</v>
      </c>
    </row>
    <row r="194" spans="1:10" ht="15" customHeight="1" x14ac:dyDescent="0.25">
      <c r="A194" s="34">
        <v>178</v>
      </c>
      <c r="B194" s="6">
        <f t="shared" si="36"/>
        <v>1291.3749910479357</v>
      </c>
      <c r="C194" s="6">
        <f t="shared" si="37"/>
        <v>20.170000000000002</v>
      </c>
      <c r="D194" s="6">
        <f t="shared" si="38"/>
        <v>1271.2049910479357</v>
      </c>
      <c r="E194" s="6">
        <f t="shared" si="39"/>
        <v>2562.471593467596</v>
      </c>
      <c r="F194" s="35">
        <f t="shared" si="40"/>
        <v>150</v>
      </c>
      <c r="G194" s="35">
        <v>0</v>
      </c>
      <c r="H194" s="6">
        <f t="shared" si="35"/>
        <v>1441.3749910479357</v>
      </c>
      <c r="I194" s="36">
        <f t="shared" si="41"/>
        <v>51044</v>
      </c>
      <c r="J194" s="37" t="s">
        <v>107</v>
      </c>
    </row>
    <row r="195" spans="1:10" ht="15" customHeight="1" x14ac:dyDescent="0.25">
      <c r="A195" s="34">
        <v>179</v>
      </c>
      <c r="B195" s="6">
        <f t="shared" si="36"/>
        <v>1291.3749910479357</v>
      </c>
      <c r="C195" s="6">
        <f t="shared" si="37"/>
        <v>13.48</v>
      </c>
      <c r="D195" s="6">
        <f t="shared" si="38"/>
        <v>1277.8949910479357</v>
      </c>
      <c r="E195" s="6">
        <f t="shared" si="39"/>
        <v>1284.5766024196603</v>
      </c>
      <c r="F195" s="35">
        <f t="shared" si="40"/>
        <v>150</v>
      </c>
      <c r="G195" s="35">
        <v>0</v>
      </c>
      <c r="H195" s="6">
        <f t="shared" si="35"/>
        <v>1441.3749910479357</v>
      </c>
      <c r="I195" s="36">
        <f t="shared" si="41"/>
        <v>51075</v>
      </c>
      <c r="J195" s="37" t="s">
        <v>107</v>
      </c>
    </row>
    <row r="196" spans="1:10" ht="15" customHeight="1" x14ac:dyDescent="0.25">
      <c r="A196" s="34">
        <v>180</v>
      </c>
      <c r="B196" s="6">
        <f t="shared" si="36"/>
        <v>1291.3366024196603</v>
      </c>
      <c r="C196" s="6">
        <f t="shared" si="37"/>
        <v>6.76</v>
      </c>
      <c r="D196" s="6">
        <f t="shared" si="38"/>
        <v>1284.5766024196603</v>
      </c>
      <c r="E196" s="6">
        <f t="shared" si="39"/>
        <v>0</v>
      </c>
      <c r="F196" s="35">
        <f t="shared" si="40"/>
        <v>150</v>
      </c>
      <c r="G196" s="35">
        <v>0</v>
      </c>
      <c r="H196" s="6">
        <f t="shared" si="35"/>
        <v>1441.3366024196603</v>
      </c>
      <c r="I196" s="36" t="str">
        <f t="shared" si="41"/>
        <v/>
      </c>
      <c r="J196" s="37" t="s">
        <v>107</v>
      </c>
    </row>
    <row r="197" spans="1:10" ht="15" customHeight="1" x14ac:dyDescent="0.25">
      <c r="A197" s="34">
        <v>181</v>
      </c>
      <c r="B197" s="6">
        <f t="shared" si="36"/>
        <v>0</v>
      </c>
      <c r="C197" s="6">
        <f t="shared" si="37"/>
        <v>0</v>
      </c>
      <c r="D197" s="6">
        <f t="shared" si="38"/>
        <v>0</v>
      </c>
      <c r="E197" s="6">
        <f t="shared" si="39"/>
        <v>0</v>
      </c>
      <c r="F197" s="35">
        <f t="shared" si="40"/>
        <v>0</v>
      </c>
      <c r="G197" s="35">
        <v>0</v>
      </c>
      <c r="H197" s="6">
        <f t="shared" si="35"/>
        <v>0</v>
      </c>
      <c r="I197" s="36" t="str">
        <f t="shared" si="41"/>
        <v/>
      </c>
      <c r="J197" s="37" t="s">
        <v>107</v>
      </c>
    </row>
    <row r="198" spans="1:10" ht="15" customHeight="1" x14ac:dyDescent="0.25">
      <c r="A198" s="34">
        <v>182</v>
      </c>
      <c r="B198" s="6">
        <f t="shared" si="36"/>
        <v>0</v>
      </c>
      <c r="C198" s="6">
        <f t="shared" si="37"/>
        <v>0</v>
      </c>
      <c r="D198" s="6">
        <f t="shared" si="38"/>
        <v>0</v>
      </c>
      <c r="E198" s="6">
        <f t="shared" si="39"/>
        <v>0</v>
      </c>
      <c r="F198" s="35">
        <f t="shared" si="40"/>
        <v>0</v>
      </c>
      <c r="G198" s="35">
        <v>0</v>
      </c>
      <c r="H198" s="6">
        <f t="shared" si="35"/>
        <v>0</v>
      </c>
      <c r="I198" s="36" t="str">
        <f t="shared" si="41"/>
        <v/>
      </c>
      <c r="J198" s="37" t="s">
        <v>107</v>
      </c>
    </row>
    <row r="199" spans="1:10" ht="15" customHeight="1" x14ac:dyDescent="0.25">
      <c r="A199" s="34">
        <v>183</v>
      </c>
      <c r="B199" s="6">
        <f t="shared" si="36"/>
        <v>0</v>
      </c>
      <c r="C199" s="6">
        <f t="shared" si="37"/>
        <v>0</v>
      </c>
      <c r="D199" s="6">
        <f t="shared" si="38"/>
        <v>0</v>
      </c>
      <c r="E199" s="6">
        <f t="shared" si="39"/>
        <v>0</v>
      </c>
      <c r="F199" s="35">
        <f t="shared" si="40"/>
        <v>0</v>
      </c>
      <c r="G199" s="35">
        <v>0</v>
      </c>
      <c r="H199" s="6">
        <f t="shared" si="35"/>
        <v>0</v>
      </c>
      <c r="I199" s="36" t="str">
        <f t="shared" si="41"/>
        <v/>
      </c>
      <c r="J199" s="37" t="s">
        <v>107</v>
      </c>
    </row>
    <row r="200" spans="1:10" ht="15" customHeight="1" x14ac:dyDescent="0.25">
      <c r="A200" s="34">
        <v>184</v>
      </c>
      <c r="B200" s="6">
        <f t="shared" si="36"/>
        <v>0</v>
      </c>
      <c r="C200" s="6">
        <f t="shared" si="37"/>
        <v>0</v>
      </c>
      <c r="D200" s="6">
        <f t="shared" si="38"/>
        <v>0</v>
      </c>
      <c r="E200" s="6">
        <f t="shared" si="39"/>
        <v>0</v>
      </c>
      <c r="F200" s="35">
        <f t="shared" si="40"/>
        <v>0</v>
      </c>
      <c r="G200" s="35">
        <v>0</v>
      </c>
      <c r="H200" s="6">
        <f t="shared" si="35"/>
        <v>0</v>
      </c>
      <c r="I200" s="36" t="str">
        <f t="shared" si="41"/>
        <v/>
      </c>
      <c r="J200" s="37" t="s">
        <v>107</v>
      </c>
    </row>
    <row r="201" spans="1:10" ht="15" customHeight="1" x14ac:dyDescent="0.25">
      <c r="A201" s="34">
        <v>185</v>
      </c>
      <c r="B201" s="6">
        <f t="shared" si="36"/>
        <v>0</v>
      </c>
      <c r="C201" s="6">
        <f t="shared" si="37"/>
        <v>0</v>
      </c>
      <c r="D201" s="6">
        <f t="shared" si="38"/>
        <v>0</v>
      </c>
      <c r="E201" s="6">
        <f t="shared" si="39"/>
        <v>0</v>
      </c>
      <c r="F201" s="35">
        <f t="shared" si="40"/>
        <v>0</v>
      </c>
      <c r="G201" s="35">
        <v>0</v>
      </c>
      <c r="H201" s="6">
        <f t="shared" si="35"/>
        <v>0</v>
      </c>
      <c r="I201" s="36" t="str">
        <f t="shared" si="41"/>
        <v/>
      </c>
      <c r="J201" s="37" t="s">
        <v>107</v>
      </c>
    </row>
    <row r="202" spans="1:10" ht="15" customHeight="1" x14ac:dyDescent="0.25">
      <c r="A202" s="34">
        <v>186</v>
      </c>
      <c r="B202" s="6">
        <f t="shared" si="36"/>
        <v>0</v>
      </c>
      <c r="C202" s="6">
        <f t="shared" si="37"/>
        <v>0</v>
      </c>
      <c r="D202" s="6">
        <f t="shared" si="38"/>
        <v>0</v>
      </c>
      <c r="E202" s="6">
        <f t="shared" si="39"/>
        <v>0</v>
      </c>
      <c r="F202" s="35">
        <f t="shared" si="40"/>
        <v>0</v>
      </c>
      <c r="G202" s="35">
        <v>0</v>
      </c>
      <c r="H202" s="6">
        <f t="shared" si="35"/>
        <v>0</v>
      </c>
      <c r="I202" s="36" t="str">
        <f t="shared" si="41"/>
        <v/>
      </c>
      <c r="J202" s="37" t="s">
        <v>107</v>
      </c>
    </row>
    <row r="203" spans="1:10" ht="15" customHeight="1" x14ac:dyDescent="0.25">
      <c r="A203" s="34">
        <v>187</v>
      </c>
      <c r="B203" s="6">
        <f t="shared" si="36"/>
        <v>0</v>
      </c>
      <c r="C203" s="6">
        <f t="shared" si="37"/>
        <v>0</v>
      </c>
      <c r="D203" s="6">
        <f t="shared" si="38"/>
        <v>0</v>
      </c>
      <c r="E203" s="6">
        <f t="shared" si="39"/>
        <v>0</v>
      </c>
      <c r="F203" s="35">
        <f t="shared" si="40"/>
        <v>0</v>
      </c>
      <c r="G203" s="35">
        <v>0</v>
      </c>
      <c r="H203" s="6">
        <f t="shared" si="35"/>
        <v>0</v>
      </c>
      <c r="I203" s="36" t="str">
        <f t="shared" si="41"/>
        <v/>
      </c>
      <c r="J203" s="37" t="s">
        <v>107</v>
      </c>
    </row>
    <row r="204" spans="1:10" ht="15" customHeight="1" x14ac:dyDescent="0.25">
      <c r="A204" s="34">
        <v>188</v>
      </c>
      <c r="B204" s="6">
        <f t="shared" si="36"/>
        <v>0</v>
      </c>
      <c r="C204" s="6">
        <f t="shared" si="37"/>
        <v>0</v>
      </c>
      <c r="D204" s="6">
        <f t="shared" si="38"/>
        <v>0</v>
      </c>
      <c r="E204" s="6">
        <f t="shared" si="39"/>
        <v>0</v>
      </c>
      <c r="F204" s="35">
        <f t="shared" si="40"/>
        <v>0</v>
      </c>
      <c r="G204" s="35">
        <v>0</v>
      </c>
      <c r="H204" s="6">
        <f t="shared" si="35"/>
        <v>0</v>
      </c>
      <c r="I204" s="36" t="str">
        <f t="shared" si="41"/>
        <v/>
      </c>
      <c r="J204" s="37" t="s">
        <v>107</v>
      </c>
    </row>
    <row r="205" spans="1:10" ht="15" customHeight="1" x14ac:dyDescent="0.25">
      <c r="A205" s="34">
        <v>189</v>
      </c>
      <c r="B205" s="6">
        <f t="shared" si="36"/>
        <v>0</v>
      </c>
      <c r="C205" s="6">
        <f t="shared" si="37"/>
        <v>0</v>
      </c>
      <c r="D205" s="6">
        <f t="shared" si="38"/>
        <v>0</v>
      </c>
      <c r="E205" s="6">
        <f t="shared" si="39"/>
        <v>0</v>
      </c>
      <c r="F205" s="35">
        <f t="shared" si="40"/>
        <v>0</v>
      </c>
      <c r="G205" s="35">
        <v>0</v>
      </c>
      <c r="H205" s="6">
        <f t="shared" si="35"/>
        <v>0</v>
      </c>
      <c r="I205" s="36" t="str">
        <f t="shared" si="41"/>
        <v/>
      </c>
      <c r="J205" s="37" t="s">
        <v>107</v>
      </c>
    </row>
    <row r="206" spans="1:10" ht="15" customHeight="1" x14ac:dyDescent="0.25">
      <c r="A206" s="34">
        <v>190</v>
      </c>
      <c r="B206" s="6">
        <f t="shared" si="36"/>
        <v>0</v>
      </c>
      <c r="C206" s="6">
        <f t="shared" si="37"/>
        <v>0</v>
      </c>
      <c r="D206" s="6">
        <f t="shared" si="38"/>
        <v>0</v>
      </c>
      <c r="E206" s="6">
        <f t="shared" si="39"/>
        <v>0</v>
      </c>
      <c r="F206" s="35">
        <f t="shared" si="40"/>
        <v>0</v>
      </c>
      <c r="G206" s="35">
        <v>0</v>
      </c>
      <c r="H206" s="6">
        <f t="shared" si="35"/>
        <v>0</v>
      </c>
      <c r="I206" s="36" t="str">
        <f t="shared" si="41"/>
        <v/>
      </c>
      <c r="J206" s="37" t="s">
        <v>107</v>
      </c>
    </row>
    <row r="207" spans="1:10" ht="15" customHeight="1" x14ac:dyDescent="0.25">
      <c r="A207" s="34">
        <v>191</v>
      </c>
      <c r="B207" s="6">
        <f t="shared" si="36"/>
        <v>0</v>
      </c>
      <c r="C207" s="6">
        <f t="shared" si="37"/>
        <v>0</v>
      </c>
      <c r="D207" s="6">
        <f t="shared" si="38"/>
        <v>0</v>
      </c>
      <c r="E207" s="6">
        <f t="shared" si="39"/>
        <v>0</v>
      </c>
      <c r="F207" s="35">
        <f t="shared" si="40"/>
        <v>0</v>
      </c>
      <c r="G207" s="35">
        <v>0</v>
      </c>
      <c r="H207" s="6">
        <f t="shared" si="35"/>
        <v>0</v>
      </c>
      <c r="I207" s="36" t="str">
        <f t="shared" si="41"/>
        <v/>
      </c>
      <c r="J207" s="37" t="s">
        <v>107</v>
      </c>
    </row>
    <row r="208" spans="1:10" ht="15" customHeight="1" x14ac:dyDescent="0.25">
      <c r="A208" s="34">
        <v>192</v>
      </c>
      <c r="B208" s="6">
        <f t="shared" si="36"/>
        <v>0</v>
      </c>
      <c r="C208" s="6">
        <f t="shared" si="37"/>
        <v>0</v>
      </c>
      <c r="D208" s="6">
        <f t="shared" si="38"/>
        <v>0</v>
      </c>
      <c r="E208" s="6">
        <f t="shared" si="39"/>
        <v>0</v>
      </c>
      <c r="F208" s="35">
        <f t="shared" si="40"/>
        <v>0</v>
      </c>
      <c r="G208" s="35">
        <v>0</v>
      </c>
      <c r="H208" s="6">
        <f t="shared" si="35"/>
        <v>0</v>
      </c>
      <c r="I208" s="36" t="str">
        <f t="shared" si="41"/>
        <v/>
      </c>
      <c r="J208" s="37" t="s">
        <v>107</v>
      </c>
    </row>
    <row r="209" spans="1:10" ht="15" customHeight="1" x14ac:dyDescent="0.25">
      <c r="A209" s="34">
        <v>193</v>
      </c>
      <c r="B209" s="6">
        <f t="shared" si="36"/>
        <v>0</v>
      </c>
      <c r="C209" s="6">
        <f t="shared" si="37"/>
        <v>0</v>
      </c>
      <c r="D209" s="6">
        <f t="shared" si="38"/>
        <v>0</v>
      </c>
      <c r="E209" s="6">
        <f t="shared" si="39"/>
        <v>0</v>
      </c>
      <c r="F209" s="35">
        <f t="shared" si="40"/>
        <v>0</v>
      </c>
      <c r="G209" s="35">
        <v>0</v>
      </c>
      <c r="H209" s="6">
        <f t="shared" ref="H209:H216" si="42">IF(B209&gt;0,B209+F209,0)</f>
        <v>0</v>
      </c>
      <c r="I209" s="36" t="str">
        <f t="shared" si="41"/>
        <v/>
      </c>
      <c r="J209" s="37" t="s">
        <v>107</v>
      </c>
    </row>
    <row r="210" spans="1:10" ht="15" customHeight="1" x14ac:dyDescent="0.25">
      <c r="A210" s="34">
        <v>194</v>
      </c>
      <c r="B210" s="6">
        <f t="shared" ref="B210:B216" si="43">IF(E209&gt;0,MIN($E$5+G210+$H$11,E209+C210),0)</f>
        <v>0</v>
      </c>
      <c r="C210" s="6">
        <f t="shared" ref="C210:C216" si="44">IF(E209&gt;0,ROUND(E209*$E$4,2),0)</f>
        <v>0</v>
      </c>
      <c r="D210" s="6">
        <f t="shared" ref="D210:D216" si="45">IF(E209&gt;0,B210-C210,0)</f>
        <v>0</v>
      </c>
      <c r="E210" s="6">
        <f t="shared" ref="E210:E216" si="46">IF(E209&gt;0,MAX(E209-D210,0),0)</f>
        <v>0</v>
      </c>
      <c r="F210" s="35">
        <f t="shared" ref="F210:F216" si="47">IF(E209&gt;0,$H$5,0)</f>
        <v>0</v>
      </c>
      <c r="G210" s="35">
        <v>0</v>
      </c>
      <c r="H210" s="6">
        <f t="shared" si="42"/>
        <v>0</v>
      </c>
      <c r="I210" s="36" t="str">
        <f t="shared" ref="I210:I216" si="48">IF(E210&gt;0,EDATE($B$8,A210-1),"")</f>
        <v/>
      </c>
      <c r="J210" s="37" t="s">
        <v>107</v>
      </c>
    </row>
    <row r="211" spans="1:10" ht="15" customHeight="1" x14ac:dyDescent="0.25">
      <c r="A211" s="34">
        <v>195</v>
      </c>
      <c r="B211" s="6">
        <f t="shared" si="43"/>
        <v>0</v>
      </c>
      <c r="C211" s="6">
        <f t="shared" si="44"/>
        <v>0</v>
      </c>
      <c r="D211" s="6">
        <f t="shared" si="45"/>
        <v>0</v>
      </c>
      <c r="E211" s="6">
        <f t="shared" si="46"/>
        <v>0</v>
      </c>
      <c r="F211" s="35">
        <f t="shared" si="47"/>
        <v>0</v>
      </c>
      <c r="G211" s="35">
        <v>0</v>
      </c>
      <c r="H211" s="6">
        <f t="shared" si="42"/>
        <v>0</v>
      </c>
      <c r="I211" s="36" t="str">
        <f t="shared" si="48"/>
        <v/>
      </c>
      <c r="J211" s="37" t="s">
        <v>107</v>
      </c>
    </row>
    <row r="212" spans="1:10" ht="15" customHeight="1" x14ac:dyDescent="0.25">
      <c r="A212" s="34">
        <v>196</v>
      </c>
      <c r="B212" s="6">
        <f t="shared" si="43"/>
        <v>0</v>
      </c>
      <c r="C212" s="6">
        <f t="shared" si="44"/>
        <v>0</v>
      </c>
      <c r="D212" s="6">
        <f t="shared" si="45"/>
        <v>0</v>
      </c>
      <c r="E212" s="6">
        <f t="shared" si="46"/>
        <v>0</v>
      </c>
      <c r="F212" s="35">
        <f t="shared" si="47"/>
        <v>0</v>
      </c>
      <c r="G212" s="35">
        <v>0</v>
      </c>
      <c r="H212" s="6">
        <f t="shared" si="42"/>
        <v>0</v>
      </c>
      <c r="I212" s="36" t="str">
        <f t="shared" si="48"/>
        <v/>
      </c>
      <c r="J212" s="37" t="s">
        <v>107</v>
      </c>
    </row>
    <row r="213" spans="1:10" ht="15" customHeight="1" x14ac:dyDescent="0.25">
      <c r="A213" s="34">
        <v>197</v>
      </c>
      <c r="B213" s="6">
        <f t="shared" si="43"/>
        <v>0</v>
      </c>
      <c r="C213" s="6">
        <f t="shared" si="44"/>
        <v>0</v>
      </c>
      <c r="D213" s="6">
        <f t="shared" si="45"/>
        <v>0</v>
      </c>
      <c r="E213" s="6">
        <f t="shared" si="46"/>
        <v>0</v>
      </c>
      <c r="F213" s="35">
        <f t="shared" si="47"/>
        <v>0</v>
      </c>
      <c r="G213" s="35">
        <v>0</v>
      </c>
      <c r="H213" s="6">
        <f t="shared" si="42"/>
        <v>0</v>
      </c>
      <c r="I213" s="36" t="str">
        <f t="shared" si="48"/>
        <v/>
      </c>
      <c r="J213" s="37" t="s">
        <v>107</v>
      </c>
    </row>
    <row r="214" spans="1:10" ht="15" customHeight="1" x14ac:dyDescent="0.25">
      <c r="A214" s="34">
        <v>198</v>
      </c>
      <c r="B214" s="6">
        <f t="shared" si="43"/>
        <v>0</v>
      </c>
      <c r="C214" s="6">
        <f t="shared" si="44"/>
        <v>0</v>
      </c>
      <c r="D214" s="6">
        <f t="shared" si="45"/>
        <v>0</v>
      </c>
      <c r="E214" s="6">
        <f t="shared" si="46"/>
        <v>0</v>
      </c>
      <c r="F214" s="35">
        <f t="shared" si="47"/>
        <v>0</v>
      </c>
      <c r="G214" s="35">
        <v>0</v>
      </c>
      <c r="H214" s="6">
        <f t="shared" si="42"/>
        <v>0</v>
      </c>
      <c r="I214" s="36" t="str">
        <f t="shared" si="48"/>
        <v/>
      </c>
      <c r="J214" s="37" t="s">
        <v>107</v>
      </c>
    </row>
    <row r="215" spans="1:10" ht="15" customHeight="1" x14ac:dyDescent="0.25">
      <c r="A215" s="34">
        <v>199</v>
      </c>
      <c r="B215" s="6">
        <f t="shared" si="43"/>
        <v>0</v>
      </c>
      <c r="C215" s="6">
        <f t="shared" si="44"/>
        <v>0</v>
      </c>
      <c r="D215" s="6">
        <f t="shared" si="45"/>
        <v>0</v>
      </c>
      <c r="E215" s="6">
        <f t="shared" si="46"/>
        <v>0</v>
      </c>
      <c r="F215" s="35">
        <f t="shared" si="47"/>
        <v>0</v>
      </c>
      <c r="G215" s="35">
        <v>0</v>
      </c>
      <c r="H215" s="6">
        <f t="shared" si="42"/>
        <v>0</v>
      </c>
      <c r="I215" s="36" t="str">
        <f t="shared" si="48"/>
        <v/>
      </c>
      <c r="J215" s="37" t="s">
        <v>107</v>
      </c>
    </row>
    <row r="216" spans="1:10" ht="15" customHeight="1" x14ac:dyDescent="0.25">
      <c r="A216" s="34">
        <v>200</v>
      </c>
      <c r="B216" s="6">
        <f t="shared" si="43"/>
        <v>0</v>
      </c>
      <c r="C216" s="6">
        <f t="shared" si="44"/>
        <v>0</v>
      </c>
      <c r="D216" s="6">
        <f t="shared" si="45"/>
        <v>0</v>
      </c>
      <c r="E216" s="6">
        <f t="shared" si="46"/>
        <v>0</v>
      </c>
      <c r="F216" s="35">
        <f t="shared" si="47"/>
        <v>0</v>
      </c>
      <c r="G216" s="35">
        <v>0</v>
      </c>
      <c r="H216" s="6">
        <f t="shared" si="42"/>
        <v>0</v>
      </c>
      <c r="I216" s="36" t="str">
        <f t="shared" si="48"/>
        <v/>
      </c>
      <c r="J216" s="37" t="s">
        <v>107</v>
      </c>
    </row>
    <row r="217" spans="1:10" ht="15" customHeight="1" x14ac:dyDescent="0.25">
      <c r="A217" s="30" t="s">
        <v>47</v>
      </c>
      <c r="B217" s="38">
        <f>SUMIF(B17:B216,"&gt;0")</f>
        <v>232447.45999999941</v>
      </c>
      <c r="C217" s="38">
        <f>SUMIF(C17:C216,"&gt;0")</f>
        <v>82447.459999999977</v>
      </c>
      <c r="D217" s="38">
        <f>SUMIF(D17:D216,"&gt;0")</f>
        <v>150000.00000000015</v>
      </c>
      <c r="F217" s="38">
        <f>SUMIF(F17:F216,"&gt;0")</f>
        <v>27000</v>
      </c>
      <c r="G217" s="38">
        <f>SUM(G17:G216)</f>
        <v>0</v>
      </c>
      <c r="H217" s="38">
        <f>SUMIF(H17:H216,"&gt;0")</f>
        <v>259447.45999999926</v>
      </c>
    </row>
    <row r="219" spans="1:10" ht="15" customHeight="1" x14ac:dyDescent="0.25">
      <c r="A219" s="2" t="s">
        <v>108</v>
      </c>
    </row>
    <row r="220" spans="1:10" ht="15" customHeight="1" x14ac:dyDescent="0.25">
      <c r="A220" s="1" t="s">
        <v>109</v>
      </c>
      <c r="B220" s="10">
        <f>$B$5</f>
        <v>150000</v>
      </c>
    </row>
    <row r="221" spans="1:10" ht="15" customHeight="1" x14ac:dyDescent="0.25">
      <c r="A221" s="1" t="s">
        <v>110</v>
      </c>
      <c r="B221" s="10">
        <f>C217</f>
        <v>82447.459999999977</v>
      </c>
    </row>
    <row r="222" spans="1:10" ht="15" customHeight="1" x14ac:dyDescent="0.25">
      <c r="A222" s="1" t="s">
        <v>111</v>
      </c>
      <c r="B222" s="10">
        <f>F217</f>
        <v>27000</v>
      </c>
    </row>
    <row r="223" spans="1:10" ht="15" customHeight="1" x14ac:dyDescent="0.25">
      <c r="A223" s="1" t="s">
        <v>112</v>
      </c>
      <c r="B223" s="10">
        <f>H217</f>
        <v>259447.45999999926</v>
      </c>
    </row>
    <row r="224" spans="1:10" ht="15" customHeight="1" x14ac:dyDescent="0.25">
      <c r="A224" s="1" t="s">
        <v>96</v>
      </c>
      <c r="B224" s="39">
        <f>COUNTIF(B17:B216,"&gt;0")</f>
        <v>180</v>
      </c>
    </row>
    <row r="225" spans="1:2" ht="15" customHeight="1" x14ac:dyDescent="0.25">
      <c r="A225" s="1" t="s">
        <v>113</v>
      </c>
      <c r="B225" s="33">
        <f>H217/$B$5</f>
        <v>1.7296497333333285</v>
      </c>
    </row>
    <row r="226" spans="1:2" ht="15" customHeight="1" x14ac:dyDescent="0.25">
      <c r="A226" s="1" t="s">
        <v>114</v>
      </c>
      <c r="B226" s="10">
        <f>$E$12</f>
        <v>180</v>
      </c>
    </row>
  </sheetData>
  <mergeCells count="2">
    <mergeCell ref="A1:J1"/>
    <mergeCell ref="A15:G15"/>
  </mergeCells>
  <dataValidations count="1">
    <dataValidation type="list" errorTitle="Invalid Entry" error="Please select Yes or No" sqref="J17:J216" xr:uid="{00000000-0002-0000-03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6"/>
  <sheetViews>
    <sheetView zoomScaleNormal="100" workbookViewId="0">
      <selection activeCell="L17" sqref="L17"/>
    </sheetView>
  </sheetViews>
  <sheetFormatPr baseColWidth="10" defaultColWidth="8.7109375" defaultRowHeight="15" x14ac:dyDescent="0.25"/>
  <cols>
    <col min="1" max="1" width="25.5703125" style="1" bestFit="1" customWidth="1"/>
    <col min="2" max="2" width="15.42578125" style="1" bestFit="1" customWidth="1"/>
    <col min="3" max="3" width="12" style="1" customWidth="1"/>
    <col min="4" max="4" width="21.42578125" style="1" bestFit="1" customWidth="1"/>
    <col min="5" max="5" width="13.85546875" style="1" bestFit="1" customWidth="1"/>
    <col min="6" max="6" width="14" style="1" customWidth="1"/>
    <col min="7" max="7" width="23.28515625" style="1" bestFit="1" customWidth="1"/>
    <col min="8" max="8" width="14" style="1" customWidth="1"/>
    <col min="9" max="9" width="12" style="1" customWidth="1"/>
    <col min="10" max="10" width="8" style="1" customWidth="1"/>
  </cols>
  <sheetData>
    <row r="1" spans="1:10" ht="19.5" customHeight="1" x14ac:dyDescent="0.25">
      <c r="A1" s="44" t="s">
        <v>119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ht="15" customHeight="1" x14ac:dyDescent="0.25">
      <c r="A3" s="2" t="s">
        <v>74</v>
      </c>
    </row>
    <row r="4" spans="1:10" ht="15" customHeight="1" x14ac:dyDescent="0.25">
      <c r="A4" s="1" t="s">
        <v>75</v>
      </c>
      <c r="B4" s="26" t="s">
        <v>120</v>
      </c>
      <c r="D4" s="1" t="s">
        <v>77</v>
      </c>
      <c r="E4" s="27">
        <f>POWER(1+B6,1/12)-1</f>
        <v>1.171491691985338E-2</v>
      </c>
      <c r="G4" s="1" t="s">
        <v>78</v>
      </c>
      <c r="H4" s="3" t="s">
        <v>121</v>
      </c>
    </row>
    <row r="5" spans="1:10" ht="15" customHeight="1" x14ac:dyDescent="0.25">
      <c r="A5" s="1" t="s">
        <v>80</v>
      </c>
      <c r="B5" s="28">
        <v>10000</v>
      </c>
      <c r="D5" s="1" t="s">
        <v>81</v>
      </c>
      <c r="E5" s="10">
        <f>IF(B6&gt;0,PMT(E4,B7,-B5),B5/B7)</f>
        <v>342.05758138674139</v>
      </c>
      <c r="G5" s="1" t="s">
        <v>82</v>
      </c>
      <c r="H5" s="28">
        <v>15</v>
      </c>
    </row>
    <row r="6" spans="1:10" ht="15" customHeight="1" x14ac:dyDescent="0.25">
      <c r="A6" s="1" t="s">
        <v>83</v>
      </c>
      <c r="B6" s="29">
        <v>0.15</v>
      </c>
      <c r="D6" s="1" t="s">
        <v>84</v>
      </c>
      <c r="E6" s="10">
        <f>E5*B7</f>
        <v>12314.07292992269</v>
      </c>
    </row>
    <row r="7" spans="1:10" ht="15" customHeight="1" x14ac:dyDescent="0.25">
      <c r="A7" s="1" t="s">
        <v>85</v>
      </c>
      <c r="B7" s="26">
        <v>36</v>
      </c>
      <c r="D7" s="1" t="s">
        <v>86</v>
      </c>
      <c r="E7" s="10">
        <f>E6-B5</f>
        <v>2314.0729299226896</v>
      </c>
    </row>
    <row r="8" spans="1:10" ht="15" customHeight="1" x14ac:dyDescent="0.25">
      <c r="A8" s="1" t="s">
        <v>87</v>
      </c>
      <c r="B8" s="26" t="s">
        <v>122</v>
      </c>
    </row>
    <row r="10" spans="1:10" ht="15" customHeight="1" x14ac:dyDescent="0.25">
      <c r="A10" s="30" t="s">
        <v>89</v>
      </c>
      <c r="D10" s="30" t="s">
        <v>90</v>
      </c>
      <c r="G10" s="30" t="s">
        <v>91</v>
      </c>
    </row>
    <row r="11" spans="1:10" ht="15" customHeight="1" x14ac:dyDescent="0.25">
      <c r="A11" s="1" t="s">
        <v>92</v>
      </c>
      <c r="B11" s="31">
        <f>COUNTIF(J17:J216,"Yes")</f>
        <v>0</v>
      </c>
      <c r="D11" s="1" t="s">
        <v>93</v>
      </c>
      <c r="E11" s="41">
        <f>EDATE(B8,COUNTIF(B17:B216,"&gt;0")-1)</f>
        <v>46753</v>
      </c>
      <c r="G11" s="1" t="s">
        <v>94</v>
      </c>
      <c r="H11" s="28">
        <v>0</v>
      </c>
    </row>
    <row r="12" spans="1:10" ht="15" customHeight="1" x14ac:dyDescent="0.25">
      <c r="A12" s="1" t="s">
        <v>95</v>
      </c>
      <c r="B12" s="32">
        <f>SUMIF(J17:J216,"Yes",H17:H216)</f>
        <v>0</v>
      </c>
      <c r="D12" s="1" t="s">
        <v>96</v>
      </c>
      <c r="E12" s="32">
        <f>COUNTIF(B17:B216,"&gt;0")</f>
        <v>36</v>
      </c>
      <c r="G12" s="1" t="s">
        <v>97</v>
      </c>
      <c r="H12" s="32">
        <f>E7-C217</f>
        <v>2.9299226885086682E-3</v>
      </c>
    </row>
    <row r="13" spans="1:10" ht="15" customHeight="1" x14ac:dyDescent="0.25">
      <c r="A13" s="1" t="s">
        <v>98</v>
      </c>
      <c r="B13" s="33">
        <f>IF(COUNTIF(B17:B216,"&gt;0")&gt;0,COUNTIF(J17:J216,"Yes")/COUNTIF(B17:B216,"&gt;0"),0)</f>
        <v>0</v>
      </c>
      <c r="D13" s="1" t="s">
        <v>99</v>
      </c>
      <c r="E13" s="10">
        <f>IF(COUNTIF(J17:J216,"Yes")&gt;0,INDEX(E17:E216,COUNTIF(J17:J216,"Yes")),B5)</f>
        <v>10000</v>
      </c>
    </row>
    <row r="14" spans="1:10" ht="15" customHeight="1" x14ac:dyDescent="0.25">
      <c r="B14" s="33"/>
      <c r="E14" s="10"/>
    </row>
    <row r="15" spans="1:10" ht="15" customHeight="1" x14ac:dyDescent="0.25">
      <c r="A15" s="45" t="s">
        <v>100</v>
      </c>
      <c r="B15" s="45"/>
      <c r="C15" s="45"/>
      <c r="D15" s="45"/>
      <c r="E15" s="45"/>
      <c r="F15" s="45"/>
      <c r="G15" s="45"/>
    </row>
    <row r="16" spans="1:10" ht="15" customHeight="1" x14ac:dyDescent="0.25">
      <c r="A16" s="4" t="s">
        <v>101</v>
      </c>
      <c r="B16" s="4" t="s">
        <v>39</v>
      </c>
      <c r="C16" s="4" t="s">
        <v>102</v>
      </c>
      <c r="D16" s="4" t="s">
        <v>37</v>
      </c>
      <c r="E16" s="4" t="s">
        <v>59</v>
      </c>
      <c r="F16" s="4" t="s">
        <v>40</v>
      </c>
      <c r="G16" s="4" t="s">
        <v>103</v>
      </c>
      <c r="H16" s="4" t="s">
        <v>104</v>
      </c>
      <c r="I16" s="4" t="s">
        <v>105</v>
      </c>
      <c r="J16" s="4" t="s">
        <v>106</v>
      </c>
    </row>
    <row r="17" spans="1:10" ht="15" customHeight="1" x14ac:dyDescent="0.25">
      <c r="A17" s="34">
        <v>1</v>
      </c>
      <c r="B17" s="6">
        <f>IF($B$5&gt;0,MIN($E$5+G17+$H$11,$B$5+C17),0)</f>
        <v>342.05758138674139</v>
      </c>
      <c r="C17" s="6">
        <f>IF($B$5&gt;0,ROUND($B$5*$E$4,2),0)</f>
        <v>117.15</v>
      </c>
      <c r="D17" s="6">
        <f>IF($B$5&gt;0,B17-C17,0)</f>
        <v>224.90758138674138</v>
      </c>
      <c r="E17" s="6">
        <f>IF($B$5&gt;0,MAX($B$5-D17,0),0)</f>
        <v>9775.0924186132579</v>
      </c>
      <c r="F17" s="35">
        <f>IF($B$5&gt;0,$H$5,0)</f>
        <v>15</v>
      </c>
      <c r="G17" s="35">
        <v>0</v>
      </c>
      <c r="H17" s="6">
        <f t="shared" ref="H17:H48" si="0">IF(B17&gt;0,B17+F17,0)</f>
        <v>357.05758138674139</v>
      </c>
      <c r="I17" s="36" t="str">
        <f>$B$8</f>
        <v>2025-02-01</v>
      </c>
      <c r="J17" s="37" t="s">
        <v>107</v>
      </c>
    </row>
    <row r="18" spans="1:10" ht="15" customHeight="1" x14ac:dyDescent="0.25">
      <c r="A18" s="34">
        <v>2</v>
      </c>
      <c r="B18" s="6">
        <f t="shared" ref="B18:B49" si="1">IF(E17&gt;0,MIN($E$5+G18+$H$11,E17+C18),0)</f>
        <v>342.05758138674139</v>
      </c>
      <c r="C18" s="6">
        <f t="shared" ref="C18:C49" si="2">IF(E17&gt;0,ROUND(E17*$E$4,2),0)</f>
        <v>114.51</v>
      </c>
      <c r="D18" s="6">
        <f t="shared" ref="D18:D49" si="3">IF(E17&gt;0,B18-C18,0)</f>
        <v>227.5475813867414</v>
      </c>
      <c r="E18" s="6">
        <f t="shared" ref="E18:E49" si="4">IF(E17&gt;0,MAX(E17-D18,0),0)</f>
        <v>9547.5448372265164</v>
      </c>
      <c r="F18" s="35">
        <f t="shared" ref="F18:F49" si="5">IF(E17&gt;0,$H$5,0)</f>
        <v>15</v>
      </c>
      <c r="G18" s="35">
        <v>0</v>
      </c>
      <c r="H18" s="6">
        <f t="shared" si="0"/>
        <v>357.05758138674139</v>
      </c>
      <c r="I18" s="36">
        <f t="shared" ref="I18:I49" si="6">IF(E18&gt;0,EDATE($B$8,A18-1),"")</f>
        <v>45717</v>
      </c>
      <c r="J18" s="37" t="s">
        <v>107</v>
      </c>
    </row>
    <row r="19" spans="1:10" ht="15" customHeight="1" x14ac:dyDescent="0.25">
      <c r="A19" s="34">
        <v>3</v>
      </c>
      <c r="B19" s="6">
        <f t="shared" si="1"/>
        <v>342.05758138674139</v>
      </c>
      <c r="C19" s="6">
        <f t="shared" si="2"/>
        <v>111.85</v>
      </c>
      <c r="D19" s="6">
        <f t="shared" si="3"/>
        <v>230.2075813867414</v>
      </c>
      <c r="E19" s="6">
        <f t="shared" si="4"/>
        <v>9317.337255839775</v>
      </c>
      <c r="F19" s="35">
        <f t="shared" si="5"/>
        <v>15</v>
      </c>
      <c r="G19" s="35">
        <v>0</v>
      </c>
      <c r="H19" s="6">
        <f t="shared" si="0"/>
        <v>357.05758138674139</v>
      </c>
      <c r="I19" s="36">
        <f t="shared" si="6"/>
        <v>45748</v>
      </c>
      <c r="J19" s="37" t="s">
        <v>107</v>
      </c>
    </row>
    <row r="20" spans="1:10" ht="15" customHeight="1" x14ac:dyDescent="0.25">
      <c r="A20" s="34">
        <v>4</v>
      </c>
      <c r="B20" s="6">
        <f t="shared" si="1"/>
        <v>342.05758138674139</v>
      </c>
      <c r="C20" s="6">
        <f t="shared" si="2"/>
        <v>109.15</v>
      </c>
      <c r="D20" s="6">
        <f t="shared" si="3"/>
        <v>232.90758138674138</v>
      </c>
      <c r="E20" s="6">
        <f t="shared" si="4"/>
        <v>9084.4296744530329</v>
      </c>
      <c r="F20" s="35">
        <f t="shared" si="5"/>
        <v>15</v>
      </c>
      <c r="G20" s="35">
        <v>0</v>
      </c>
      <c r="H20" s="6">
        <f t="shared" si="0"/>
        <v>357.05758138674139</v>
      </c>
      <c r="I20" s="36">
        <f t="shared" si="6"/>
        <v>45778</v>
      </c>
      <c r="J20" s="37" t="s">
        <v>107</v>
      </c>
    </row>
    <row r="21" spans="1:10" ht="15" customHeight="1" x14ac:dyDescent="0.25">
      <c r="A21" s="34">
        <v>5</v>
      </c>
      <c r="B21" s="6">
        <f t="shared" si="1"/>
        <v>342.05758138674139</v>
      </c>
      <c r="C21" s="6">
        <f t="shared" si="2"/>
        <v>106.42</v>
      </c>
      <c r="D21" s="6">
        <f t="shared" si="3"/>
        <v>235.63758138674137</v>
      </c>
      <c r="E21" s="6">
        <f t="shared" si="4"/>
        <v>8848.7920930662913</v>
      </c>
      <c r="F21" s="35">
        <f t="shared" si="5"/>
        <v>15</v>
      </c>
      <c r="G21" s="35">
        <v>0</v>
      </c>
      <c r="H21" s="6">
        <f t="shared" si="0"/>
        <v>357.05758138674139</v>
      </c>
      <c r="I21" s="36">
        <f t="shared" si="6"/>
        <v>45809</v>
      </c>
      <c r="J21" s="37" t="s">
        <v>107</v>
      </c>
    </row>
    <row r="22" spans="1:10" ht="15" customHeight="1" x14ac:dyDescent="0.25">
      <c r="A22" s="34">
        <v>6</v>
      </c>
      <c r="B22" s="6">
        <f t="shared" si="1"/>
        <v>342.05758138674139</v>
      </c>
      <c r="C22" s="6">
        <f t="shared" si="2"/>
        <v>103.66</v>
      </c>
      <c r="D22" s="6">
        <f t="shared" si="3"/>
        <v>238.39758138674139</v>
      </c>
      <c r="E22" s="6">
        <f t="shared" si="4"/>
        <v>8610.3945116795494</v>
      </c>
      <c r="F22" s="35">
        <f t="shared" si="5"/>
        <v>15</v>
      </c>
      <c r="G22" s="35">
        <v>0</v>
      </c>
      <c r="H22" s="6">
        <f t="shared" si="0"/>
        <v>357.05758138674139</v>
      </c>
      <c r="I22" s="36">
        <f t="shared" si="6"/>
        <v>45839</v>
      </c>
      <c r="J22" s="37" t="s">
        <v>107</v>
      </c>
    </row>
    <row r="23" spans="1:10" ht="15" customHeight="1" x14ac:dyDescent="0.25">
      <c r="A23" s="34">
        <v>7</v>
      </c>
      <c r="B23" s="6">
        <f t="shared" si="1"/>
        <v>342.05758138674139</v>
      </c>
      <c r="C23" s="6">
        <f t="shared" si="2"/>
        <v>100.87</v>
      </c>
      <c r="D23" s="6">
        <f t="shared" si="3"/>
        <v>241.18758138674139</v>
      </c>
      <c r="E23" s="6">
        <f t="shared" si="4"/>
        <v>8369.2069302928085</v>
      </c>
      <c r="F23" s="35">
        <f t="shared" si="5"/>
        <v>15</v>
      </c>
      <c r="G23" s="35">
        <v>0</v>
      </c>
      <c r="H23" s="6">
        <f t="shared" si="0"/>
        <v>357.05758138674139</v>
      </c>
      <c r="I23" s="36">
        <f t="shared" si="6"/>
        <v>45870</v>
      </c>
      <c r="J23" s="37" t="s">
        <v>107</v>
      </c>
    </row>
    <row r="24" spans="1:10" ht="15" customHeight="1" x14ac:dyDescent="0.25">
      <c r="A24" s="34">
        <v>8</v>
      </c>
      <c r="B24" s="6">
        <f t="shared" si="1"/>
        <v>342.05758138674139</v>
      </c>
      <c r="C24" s="6">
        <f t="shared" si="2"/>
        <v>98.04</v>
      </c>
      <c r="D24" s="6">
        <f t="shared" si="3"/>
        <v>244.01758138674137</v>
      </c>
      <c r="E24" s="6">
        <f t="shared" si="4"/>
        <v>8125.1893489060667</v>
      </c>
      <c r="F24" s="35">
        <f t="shared" si="5"/>
        <v>15</v>
      </c>
      <c r="G24" s="35">
        <v>0</v>
      </c>
      <c r="H24" s="6">
        <f t="shared" si="0"/>
        <v>357.05758138674139</v>
      </c>
      <c r="I24" s="36">
        <f t="shared" si="6"/>
        <v>45901</v>
      </c>
      <c r="J24" s="37" t="s">
        <v>107</v>
      </c>
    </row>
    <row r="25" spans="1:10" ht="15" customHeight="1" x14ac:dyDescent="0.25">
      <c r="A25" s="34">
        <v>9</v>
      </c>
      <c r="B25" s="6">
        <f t="shared" si="1"/>
        <v>342.05758138674139</v>
      </c>
      <c r="C25" s="6">
        <f t="shared" si="2"/>
        <v>95.19</v>
      </c>
      <c r="D25" s="6">
        <f t="shared" si="3"/>
        <v>246.86758138674139</v>
      </c>
      <c r="E25" s="6">
        <f t="shared" si="4"/>
        <v>7878.3217675193255</v>
      </c>
      <c r="F25" s="35">
        <f t="shared" si="5"/>
        <v>15</v>
      </c>
      <c r="G25" s="35">
        <v>0</v>
      </c>
      <c r="H25" s="6">
        <f t="shared" si="0"/>
        <v>357.05758138674139</v>
      </c>
      <c r="I25" s="36">
        <f t="shared" si="6"/>
        <v>45931</v>
      </c>
      <c r="J25" s="37" t="s">
        <v>107</v>
      </c>
    </row>
    <row r="26" spans="1:10" ht="15" customHeight="1" x14ac:dyDescent="0.25">
      <c r="A26" s="34">
        <v>10</v>
      </c>
      <c r="B26" s="6">
        <f t="shared" si="1"/>
        <v>342.05758138674139</v>
      </c>
      <c r="C26" s="6">
        <f t="shared" si="2"/>
        <v>92.29</v>
      </c>
      <c r="D26" s="6">
        <f t="shared" si="3"/>
        <v>249.76758138674137</v>
      </c>
      <c r="E26" s="6">
        <f t="shared" si="4"/>
        <v>7628.5541861325837</v>
      </c>
      <c r="F26" s="35">
        <f t="shared" si="5"/>
        <v>15</v>
      </c>
      <c r="G26" s="35">
        <v>0</v>
      </c>
      <c r="H26" s="6">
        <f t="shared" si="0"/>
        <v>357.05758138674139</v>
      </c>
      <c r="I26" s="36">
        <f t="shared" si="6"/>
        <v>45962</v>
      </c>
      <c r="J26" s="37" t="s">
        <v>107</v>
      </c>
    </row>
    <row r="27" spans="1:10" ht="15" customHeight="1" x14ac:dyDescent="0.25">
      <c r="A27" s="34">
        <v>11</v>
      </c>
      <c r="B27" s="6">
        <f t="shared" si="1"/>
        <v>342.05758138674139</v>
      </c>
      <c r="C27" s="6">
        <f t="shared" si="2"/>
        <v>89.37</v>
      </c>
      <c r="D27" s="6">
        <f t="shared" si="3"/>
        <v>252.68758138674139</v>
      </c>
      <c r="E27" s="6">
        <f t="shared" si="4"/>
        <v>7375.8666047458428</v>
      </c>
      <c r="F27" s="35">
        <f t="shared" si="5"/>
        <v>15</v>
      </c>
      <c r="G27" s="35">
        <v>0</v>
      </c>
      <c r="H27" s="6">
        <f t="shared" si="0"/>
        <v>357.05758138674139</v>
      </c>
      <c r="I27" s="36">
        <f t="shared" si="6"/>
        <v>45992</v>
      </c>
      <c r="J27" s="37" t="s">
        <v>107</v>
      </c>
    </row>
    <row r="28" spans="1:10" ht="15" customHeight="1" x14ac:dyDescent="0.25">
      <c r="A28" s="34">
        <v>12</v>
      </c>
      <c r="B28" s="6">
        <f t="shared" si="1"/>
        <v>342.05758138674139</v>
      </c>
      <c r="C28" s="6">
        <f t="shared" si="2"/>
        <v>86.41</v>
      </c>
      <c r="D28" s="6">
        <f t="shared" si="3"/>
        <v>255.64758138674139</v>
      </c>
      <c r="E28" s="6">
        <f t="shared" si="4"/>
        <v>7120.2190233591018</v>
      </c>
      <c r="F28" s="35">
        <f t="shared" si="5"/>
        <v>15</v>
      </c>
      <c r="G28" s="35">
        <v>0</v>
      </c>
      <c r="H28" s="6">
        <f t="shared" si="0"/>
        <v>357.05758138674139</v>
      </c>
      <c r="I28" s="36">
        <f t="shared" si="6"/>
        <v>46023</v>
      </c>
      <c r="J28" s="37" t="s">
        <v>107</v>
      </c>
    </row>
    <row r="29" spans="1:10" ht="15" customHeight="1" x14ac:dyDescent="0.25">
      <c r="A29" s="34">
        <v>13</v>
      </c>
      <c r="B29" s="6">
        <f t="shared" si="1"/>
        <v>342.05758138674139</v>
      </c>
      <c r="C29" s="6">
        <f t="shared" si="2"/>
        <v>83.41</v>
      </c>
      <c r="D29" s="6">
        <f t="shared" si="3"/>
        <v>258.64758138674142</v>
      </c>
      <c r="E29" s="6">
        <f t="shared" si="4"/>
        <v>6861.5714419723608</v>
      </c>
      <c r="F29" s="35">
        <f t="shared" si="5"/>
        <v>15</v>
      </c>
      <c r="G29" s="35">
        <v>0</v>
      </c>
      <c r="H29" s="6">
        <f t="shared" si="0"/>
        <v>357.05758138674139</v>
      </c>
      <c r="I29" s="36">
        <f t="shared" si="6"/>
        <v>46054</v>
      </c>
      <c r="J29" s="37" t="s">
        <v>107</v>
      </c>
    </row>
    <row r="30" spans="1:10" ht="15" customHeight="1" x14ac:dyDescent="0.25">
      <c r="A30" s="34">
        <v>14</v>
      </c>
      <c r="B30" s="6">
        <f t="shared" si="1"/>
        <v>342.05758138674139</v>
      </c>
      <c r="C30" s="6">
        <f t="shared" si="2"/>
        <v>80.38</v>
      </c>
      <c r="D30" s="6">
        <f t="shared" si="3"/>
        <v>261.67758138674139</v>
      </c>
      <c r="E30" s="6">
        <f t="shared" si="4"/>
        <v>6599.8938605856192</v>
      </c>
      <c r="F30" s="35">
        <f t="shared" si="5"/>
        <v>15</v>
      </c>
      <c r="G30" s="35">
        <v>0</v>
      </c>
      <c r="H30" s="6">
        <f t="shared" si="0"/>
        <v>357.05758138674139</v>
      </c>
      <c r="I30" s="36">
        <f t="shared" si="6"/>
        <v>46082</v>
      </c>
      <c r="J30" s="37" t="s">
        <v>107</v>
      </c>
    </row>
    <row r="31" spans="1:10" ht="15" customHeight="1" x14ac:dyDescent="0.25">
      <c r="A31" s="34">
        <v>15</v>
      </c>
      <c r="B31" s="6">
        <f t="shared" si="1"/>
        <v>342.05758138674139</v>
      </c>
      <c r="C31" s="6">
        <f t="shared" si="2"/>
        <v>77.319999999999993</v>
      </c>
      <c r="D31" s="6">
        <f t="shared" si="3"/>
        <v>264.7375813867414</v>
      </c>
      <c r="E31" s="6">
        <f t="shared" si="4"/>
        <v>6335.1562791988781</v>
      </c>
      <c r="F31" s="35">
        <f t="shared" si="5"/>
        <v>15</v>
      </c>
      <c r="G31" s="35">
        <v>0</v>
      </c>
      <c r="H31" s="6">
        <f t="shared" si="0"/>
        <v>357.05758138674139</v>
      </c>
      <c r="I31" s="36">
        <f t="shared" si="6"/>
        <v>46113</v>
      </c>
      <c r="J31" s="37" t="s">
        <v>107</v>
      </c>
    </row>
    <row r="32" spans="1:10" ht="15" customHeight="1" x14ac:dyDescent="0.25">
      <c r="A32" s="34">
        <v>16</v>
      </c>
      <c r="B32" s="6">
        <f t="shared" si="1"/>
        <v>342.05758138674139</v>
      </c>
      <c r="C32" s="6">
        <f t="shared" si="2"/>
        <v>74.22</v>
      </c>
      <c r="D32" s="6">
        <f t="shared" si="3"/>
        <v>267.83758138674136</v>
      </c>
      <c r="E32" s="6">
        <f t="shared" si="4"/>
        <v>6067.3186978121366</v>
      </c>
      <c r="F32" s="35">
        <f t="shared" si="5"/>
        <v>15</v>
      </c>
      <c r="G32" s="35">
        <v>0</v>
      </c>
      <c r="H32" s="6">
        <f t="shared" si="0"/>
        <v>357.05758138674139</v>
      </c>
      <c r="I32" s="36">
        <f t="shared" si="6"/>
        <v>46143</v>
      </c>
      <c r="J32" s="37" t="s">
        <v>107</v>
      </c>
    </row>
    <row r="33" spans="1:10" ht="15" customHeight="1" x14ac:dyDescent="0.25">
      <c r="A33" s="34">
        <v>17</v>
      </c>
      <c r="B33" s="6">
        <f t="shared" si="1"/>
        <v>342.05758138674139</v>
      </c>
      <c r="C33" s="6">
        <f t="shared" si="2"/>
        <v>71.08</v>
      </c>
      <c r="D33" s="6">
        <f t="shared" si="3"/>
        <v>270.97758138674141</v>
      </c>
      <c r="E33" s="6">
        <f t="shared" si="4"/>
        <v>5796.3411164253948</v>
      </c>
      <c r="F33" s="35">
        <f t="shared" si="5"/>
        <v>15</v>
      </c>
      <c r="G33" s="35">
        <v>0</v>
      </c>
      <c r="H33" s="6">
        <f t="shared" si="0"/>
        <v>357.05758138674139</v>
      </c>
      <c r="I33" s="36">
        <f t="shared" si="6"/>
        <v>46174</v>
      </c>
      <c r="J33" s="37" t="s">
        <v>107</v>
      </c>
    </row>
    <row r="34" spans="1:10" ht="15" customHeight="1" x14ac:dyDescent="0.25">
      <c r="A34" s="34">
        <v>18</v>
      </c>
      <c r="B34" s="6">
        <f t="shared" si="1"/>
        <v>342.05758138674139</v>
      </c>
      <c r="C34" s="6">
        <f t="shared" si="2"/>
        <v>67.900000000000006</v>
      </c>
      <c r="D34" s="6">
        <f t="shared" si="3"/>
        <v>274.15758138674141</v>
      </c>
      <c r="E34" s="6">
        <f t="shared" si="4"/>
        <v>5522.1835350386536</v>
      </c>
      <c r="F34" s="35">
        <f t="shared" si="5"/>
        <v>15</v>
      </c>
      <c r="G34" s="35">
        <v>0</v>
      </c>
      <c r="H34" s="6">
        <f t="shared" si="0"/>
        <v>357.05758138674139</v>
      </c>
      <c r="I34" s="36">
        <f t="shared" si="6"/>
        <v>46204</v>
      </c>
      <c r="J34" s="37" t="s">
        <v>107</v>
      </c>
    </row>
    <row r="35" spans="1:10" ht="15" customHeight="1" x14ac:dyDescent="0.25">
      <c r="A35" s="34">
        <v>19</v>
      </c>
      <c r="B35" s="6">
        <f t="shared" si="1"/>
        <v>342.05758138674139</v>
      </c>
      <c r="C35" s="6">
        <f t="shared" si="2"/>
        <v>64.69</v>
      </c>
      <c r="D35" s="6">
        <f t="shared" si="3"/>
        <v>277.36758138674139</v>
      </c>
      <c r="E35" s="6">
        <f t="shared" si="4"/>
        <v>5244.8159536519124</v>
      </c>
      <c r="F35" s="35">
        <f t="shared" si="5"/>
        <v>15</v>
      </c>
      <c r="G35" s="35">
        <v>0</v>
      </c>
      <c r="H35" s="6">
        <f t="shared" si="0"/>
        <v>357.05758138674139</v>
      </c>
      <c r="I35" s="36">
        <f t="shared" si="6"/>
        <v>46235</v>
      </c>
      <c r="J35" s="37" t="s">
        <v>107</v>
      </c>
    </row>
    <row r="36" spans="1:10" ht="15" customHeight="1" x14ac:dyDescent="0.25">
      <c r="A36" s="34">
        <v>20</v>
      </c>
      <c r="B36" s="6">
        <f t="shared" si="1"/>
        <v>342.05758138674139</v>
      </c>
      <c r="C36" s="6">
        <f t="shared" si="2"/>
        <v>61.44</v>
      </c>
      <c r="D36" s="6">
        <f t="shared" si="3"/>
        <v>280.61758138674139</v>
      </c>
      <c r="E36" s="6">
        <f t="shared" si="4"/>
        <v>4964.1983722651712</v>
      </c>
      <c r="F36" s="35">
        <f t="shared" si="5"/>
        <v>15</v>
      </c>
      <c r="G36" s="35">
        <v>0</v>
      </c>
      <c r="H36" s="6">
        <f t="shared" si="0"/>
        <v>357.05758138674139</v>
      </c>
      <c r="I36" s="36">
        <f t="shared" si="6"/>
        <v>46266</v>
      </c>
      <c r="J36" s="37" t="s">
        <v>107</v>
      </c>
    </row>
    <row r="37" spans="1:10" ht="15" customHeight="1" x14ac:dyDescent="0.25">
      <c r="A37" s="34">
        <v>21</v>
      </c>
      <c r="B37" s="6">
        <f t="shared" si="1"/>
        <v>342.05758138674139</v>
      </c>
      <c r="C37" s="6">
        <f t="shared" si="2"/>
        <v>58.16</v>
      </c>
      <c r="D37" s="6">
        <f t="shared" si="3"/>
        <v>283.89758138674142</v>
      </c>
      <c r="E37" s="6">
        <f t="shared" si="4"/>
        <v>4680.3007908784293</v>
      </c>
      <c r="F37" s="35">
        <f t="shared" si="5"/>
        <v>15</v>
      </c>
      <c r="G37" s="35">
        <v>0</v>
      </c>
      <c r="H37" s="6">
        <f t="shared" si="0"/>
        <v>357.05758138674139</v>
      </c>
      <c r="I37" s="36">
        <f t="shared" si="6"/>
        <v>46296</v>
      </c>
      <c r="J37" s="37" t="s">
        <v>107</v>
      </c>
    </row>
    <row r="38" spans="1:10" ht="15" customHeight="1" x14ac:dyDescent="0.25">
      <c r="A38" s="34">
        <v>22</v>
      </c>
      <c r="B38" s="6">
        <f t="shared" si="1"/>
        <v>342.05758138674139</v>
      </c>
      <c r="C38" s="6">
        <f t="shared" si="2"/>
        <v>54.83</v>
      </c>
      <c r="D38" s="6">
        <f t="shared" si="3"/>
        <v>287.22758138674141</v>
      </c>
      <c r="E38" s="6">
        <f t="shared" si="4"/>
        <v>4393.0732094916875</v>
      </c>
      <c r="F38" s="35">
        <f t="shared" si="5"/>
        <v>15</v>
      </c>
      <c r="G38" s="35">
        <v>0</v>
      </c>
      <c r="H38" s="6">
        <f t="shared" si="0"/>
        <v>357.05758138674139</v>
      </c>
      <c r="I38" s="36">
        <f t="shared" si="6"/>
        <v>46327</v>
      </c>
      <c r="J38" s="37" t="s">
        <v>107</v>
      </c>
    </row>
    <row r="39" spans="1:10" ht="15" customHeight="1" x14ac:dyDescent="0.25">
      <c r="A39" s="34">
        <v>23</v>
      </c>
      <c r="B39" s="6">
        <f t="shared" si="1"/>
        <v>342.05758138674139</v>
      </c>
      <c r="C39" s="6">
        <f t="shared" si="2"/>
        <v>51.46</v>
      </c>
      <c r="D39" s="6">
        <f t="shared" si="3"/>
        <v>290.59758138674141</v>
      </c>
      <c r="E39" s="6">
        <f t="shared" si="4"/>
        <v>4102.4756281049458</v>
      </c>
      <c r="F39" s="35">
        <f t="shared" si="5"/>
        <v>15</v>
      </c>
      <c r="G39" s="35">
        <v>0</v>
      </c>
      <c r="H39" s="6">
        <f t="shared" si="0"/>
        <v>357.05758138674139</v>
      </c>
      <c r="I39" s="36">
        <f t="shared" si="6"/>
        <v>46357</v>
      </c>
      <c r="J39" s="37" t="s">
        <v>107</v>
      </c>
    </row>
    <row r="40" spans="1:10" ht="15" customHeight="1" x14ac:dyDescent="0.25">
      <c r="A40" s="34">
        <v>24</v>
      </c>
      <c r="B40" s="6">
        <f t="shared" si="1"/>
        <v>342.05758138674139</v>
      </c>
      <c r="C40" s="6">
        <f t="shared" si="2"/>
        <v>48.06</v>
      </c>
      <c r="D40" s="6">
        <f t="shared" si="3"/>
        <v>293.99758138674139</v>
      </c>
      <c r="E40" s="6">
        <f t="shared" si="4"/>
        <v>3808.4780467182045</v>
      </c>
      <c r="F40" s="35">
        <f t="shared" si="5"/>
        <v>15</v>
      </c>
      <c r="G40" s="35">
        <v>0</v>
      </c>
      <c r="H40" s="6">
        <f t="shared" si="0"/>
        <v>357.05758138674139</v>
      </c>
      <c r="I40" s="36">
        <f t="shared" si="6"/>
        <v>46388</v>
      </c>
      <c r="J40" s="37" t="s">
        <v>107</v>
      </c>
    </row>
    <row r="41" spans="1:10" ht="15" customHeight="1" x14ac:dyDescent="0.25">
      <c r="A41" s="34">
        <v>25</v>
      </c>
      <c r="B41" s="6">
        <f t="shared" si="1"/>
        <v>342.05758138674139</v>
      </c>
      <c r="C41" s="6">
        <f t="shared" si="2"/>
        <v>44.62</v>
      </c>
      <c r="D41" s="6">
        <f t="shared" si="3"/>
        <v>297.43758138674139</v>
      </c>
      <c r="E41" s="6">
        <f t="shared" si="4"/>
        <v>3511.0404653314631</v>
      </c>
      <c r="F41" s="35">
        <f t="shared" si="5"/>
        <v>15</v>
      </c>
      <c r="G41" s="35">
        <v>0</v>
      </c>
      <c r="H41" s="6">
        <f t="shared" si="0"/>
        <v>357.05758138674139</v>
      </c>
      <c r="I41" s="36">
        <f t="shared" si="6"/>
        <v>46419</v>
      </c>
      <c r="J41" s="37" t="s">
        <v>107</v>
      </c>
    </row>
    <row r="42" spans="1:10" ht="15" customHeight="1" x14ac:dyDescent="0.25">
      <c r="A42" s="34">
        <v>26</v>
      </c>
      <c r="B42" s="6">
        <f t="shared" si="1"/>
        <v>342.05758138674139</v>
      </c>
      <c r="C42" s="6">
        <f t="shared" si="2"/>
        <v>41.13</v>
      </c>
      <c r="D42" s="6">
        <f t="shared" si="3"/>
        <v>300.92758138674139</v>
      </c>
      <c r="E42" s="6">
        <f t="shared" si="4"/>
        <v>3210.1128839447219</v>
      </c>
      <c r="F42" s="35">
        <f t="shared" si="5"/>
        <v>15</v>
      </c>
      <c r="G42" s="35">
        <v>0</v>
      </c>
      <c r="H42" s="6">
        <f t="shared" si="0"/>
        <v>357.05758138674139</v>
      </c>
      <c r="I42" s="36">
        <f t="shared" si="6"/>
        <v>46447</v>
      </c>
      <c r="J42" s="37" t="s">
        <v>107</v>
      </c>
    </row>
    <row r="43" spans="1:10" ht="15" customHeight="1" x14ac:dyDescent="0.25">
      <c r="A43" s="34">
        <v>27</v>
      </c>
      <c r="B43" s="6">
        <f t="shared" si="1"/>
        <v>342.05758138674139</v>
      </c>
      <c r="C43" s="6">
        <f t="shared" si="2"/>
        <v>37.61</v>
      </c>
      <c r="D43" s="6">
        <f t="shared" si="3"/>
        <v>304.44758138674138</v>
      </c>
      <c r="E43" s="6">
        <f t="shared" si="4"/>
        <v>2905.6653025579808</v>
      </c>
      <c r="F43" s="35">
        <f t="shared" si="5"/>
        <v>15</v>
      </c>
      <c r="G43" s="35">
        <v>0</v>
      </c>
      <c r="H43" s="6">
        <f t="shared" si="0"/>
        <v>357.05758138674139</v>
      </c>
      <c r="I43" s="36">
        <f t="shared" si="6"/>
        <v>46478</v>
      </c>
      <c r="J43" s="37" t="s">
        <v>107</v>
      </c>
    </row>
    <row r="44" spans="1:10" ht="15" customHeight="1" x14ac:dyDescent="0.25">
      <c r="A44" s="34">
        <v>28</v>
      </c>
      <c r="B44" s="6">
        <f t="shared" si="1"/>
        <v>342.05758138674139</v>
      </c>
      <c r="C44" s="6">
        <f t="shared" si="2"/>
        <v>34.04</v>
      </c>
      <c r="D44" s="6">
        <f t="shared" si="3"/>
        <v>308.01758138674137</v>
      </c>
      <c r="E44" s="6">
        <f t="shared" si="4"/>
        <v>2597.6477211712395</v>
      </c>
      <c r="F44" s="35">
        <f t="shared" si="5"/>
        <v>15</v>
      </c>
      <c r="G44" s="35">
        <v>0</v>
      </c>
      <c r="H44" s="6">
        <f t="shared" si="0"/>
        <v>357.05758138674139</v>
      </c>
      <c r="I44" s="36">
        <f t="shared" si="6"/>
        <v>46508</v>
      </c>
      <c r="J44" s="37" t="s">
        <v>107</v>
      </c>
    </row>
    <row r="45" spans="1:10" ht="15" customHeight="1" x14ac:dyDescent="0.25">
      <c r="A45" s="34">
        <v>29</v>
      </c>
      <c r="B45" s="6">
        <f t="shared" si="1"/>
        <v>342.05758138674139</v>
      </c>
      <c r="C45" s="6">
        <f t="shared" si="2"/>
        <v>30.43</v>
      </c>
      <c r="D45" s="6">
        <f t="shared" si="3"/>
        <v>311.62758138674138</v>
      </c>
      <c r="E45" s="6">
        <f t="shared" si="4"/>
        <v>2286.020139784498</v>
      </c>
      <c r="F45" s="35">
        <f t="shared" si="5"/>
        <v>15</v>
      </c>
      <c r="G45" s="35">
        <v>0</v>
      </c>
      <c r="H45" s="6">
        <f t="shared" si="0"/>
        <v>357.05758138674139</v>
      </c>
      <c r="I45" s="36">
        <f t="shared" si="6"/>
        <v>46539</v>
      </c>
      <c r="J45" s="37" t="s">
        <v>107</v>
      </c>
    </row>
    <row r="46" spans="1:10" ht="15" customHeight="1" x14ac:dyDescent="0.25">
      <c r="A46" s="34">
        <v>30</v>
      </c>
      <c r="B46" s="6">
        <f t="shared" si="1"/>
        <v>342.05758138674139</v>
      </c>
      <c r="C46" s="6">
        <f t="shared" si="2"/>
        <v>26.78</v>
      </c>
      <c r="D46" s="6">
        <f t="shared" si="3"/>
        <v>315.27758138674142</v>
      </c>
      <c r="E46" s="6">
        <f t="shared" si="4"/>
        <v>1970.7425583977565</v>
      </c>
      <c r="F46" s="35">
        <f t="shared" si="5"/>
        <v>15</v>
      </c>
      <c r="G46" s="35">
        <v>0</v>
      </c>
      <c r="H46" s="6">
        <f t="shared" si="0"/>
        <v>357.05758138674139</v>
      </c>
      <c r="I46" s="36">
        <f t="shared" si="6"/>
        <v>46569</v>
      </c>
      <c r="J46" s="37" t="s">
        <v>107</v>
      </c>
    </row>
    <row r="47" spans="1:10" ht="15" customHeight="1" x14ac:dyDescent="0.25">
      <c r="A47" s="34">
        <v>31</v>
      </c>
      <c r="B47" s="6">
        <f t="shared" si="1"/>
        <v>342.05758138674139</v>
      </c>
      <c r="C47" s="6">
        <f t="shared" si="2"/>
        <v>23.09</v>
      </c>
      <c r="D47" s="6">
        <f t="shared" si="3"/>
        <v>318.96758138674141</v>
      </c>
      <c r="E47" s="6">
        <f t="shared" si="4"/>
        <v>1651.7749770110152</v>
      </c>
      <c r="F47" s="35">
        <f t="shared" si="5"/>
        <v>15</v>
      </c>
      <c r="G47" s="35">
        <v>0</v>
      </c>
      <c r="H47" s="6">
        <f t="shared" si="0"/>
        <v>357.05758138674139</v>
      </c>
      <c r="I47" s="36">
        <f t="shared" si="6"/>
        <v>46600</v>
      </c>
      <c r="J47" s="37" t="s">
        <v>107</v>
      </c>
    </row>
    <row r="48" spans="1:10" ht="15" customHeight="1" x14ac:dyDescent="0.25">
      <c r="A48" s="34">
        <v>32</v>
      </c>
      <c r="B48" s="6">
        <f t="shared" si="1"/>
        <v>342.05758138674139</v>
      </c>
      <c r="C48" s="6">
        <f t="shared" si="2"/>
        <v>19.350000000000001</v>
      </c>
      <c r="D48" s="6">
        <f t="shared" si="3"/>
        <v>322.70758138674137</v>
      </c>
      <c r="E48" s="6">
        <f t="shared" si="4"/>
        <v>1329.0673956242738</v>
      </c>
      <c r="F48" s="35">
        <f t="shared" si="5"/>
        <v>15</v>
      </c>
      <c r="G48" s="35">
        <v>0</v>
      </c>
      <c r="H48" s="6">
        <f t="shared" si="0"/>
        <v>357.05758138674139</v>
      </c>
      <c r="I48" s="36">
        <f t="shared" si="6"/>
        <v>46631</v>
      </c>
      <c r="J48" s="37" t="s">
        <v>107</v>
      </c>
    </row>
    <row r="49" spans="1:10" ht="15" customHeight="1" x14ac:dyDescent="0.25">
      <c r="A49" s="34">
        <v>33</v>
      </c>
      <c r="B49" s="6">
        <f t="shared" si="1"/>
        <v>342.05758138674139</v>
      </c>
      <c r="C49" s="6">
        <f t="shared" si="2"/>
        <v>15.57</v>
      </c>
      <c r="D49" s="6">
        <f t="shared" si="3"/>
        <v>326.4875813867414</v>
      </c>
      <c r="E49" s="6">
        <f t="shared" si="4"/>
        <v>1002.5798142375324</v>
      </c>
      <c r="F49" s="35">
        <f t="shared" si="5"/>
        <v>15</v>
      </c>
      <c r="G49" s="35">
        <v>0</v>
      </c>
      <c r="H49" s="6">
        <f t="shared" ref="H49:H80" si="7">IF(B49&gt;0,B49+F49,0)</f>
        <v>357.05758138674139</v>
      </c>
      <c r="I49" s="36">
        <f t="shared" si="6"/>
        <v>46661</v>
      </c>
      <c r="J49" s="37" t="s">
        <v>107</v>
      </c>
    </row>
    <row r="50" spans="1:10" ht="15" customHeight="1" x14ac:dyDescent="0.25">
      <c r="A50" s="34">
        <v>34</v>
      </c>
      <c r="B50" s="6">
        <f t="shared" ref="B50:B81" si="8">IF(E49&gt;0,MIN($E$5+G50+$H$11,E49+C50),0)</f>
        <v>342.05758138674139</v>
      </c>
      <c r="C50" s="6">
        <f t="shared" ref="C50:C81" si="9">IF(E49&gt;0,ROUND(E49*$E$4,2),0)</f>
        <v>11.75</v>
      </c>
      <c r="D50" s="6">
        <f t="shared" ref="D50:D81" si="10">IF(E49&gt;0,B50-C50,0)</f>
        <v>330.30758138674139</v>
      </c>
      <c r="E50" s="6">
        <f t="shared" ref="E50:E81" si="11">IF(E49&gt;0,MAX(E49-D50,0),0)</f>
        <v>672.27223285079106</v>
      </c>
      <c r="F50" s="35">
        <f t="shared" ref="F50:F81" si="12">IF(E49&gt;0,$H$5,0)</f>
        <v>15</v>
      </c>
      <c r="G50" s="35">
        <v>0</v>
      </c>
      <c r="H50" s="6">
        <f t="shared" si="7"/>
        <v>357.05758138674139</v>
      </c>
      <c r="I50" s="36">
        <f t="shared" ref="I50:I81" si="13">IF(E50&gt;0,EDATE($B$8,A50-1),"")</f>
        <v>46692</v>
      </c>
      <c r="J50" s="37" t="s">
        <v>107</v>
      </c>
    </row>
    <row r="51" spans="1:10" ht="15" customHeight="1" x14ac:dyDescent="0.25">
      <c r="A51" s="34">
        <v>35</v>
      </c>
      <c r="B51" s="6">
        <f t="shared" si="8"/>
        <v>342.05758138674139</v>
      </c>
      <c r="C51" s="6">
        <f t="shared" si="9"/>
        <v>7.88</v>
      </c>
      <c r="D51" s="6">
        <f t="shared" si="10"/>
        <v>334.17758138674139</v>
      </c>
      <c r="E51" s="6">
        <f t="shared" si="11"/>
        <v>338.09465146404966</v>
      </c>
      <c r="F51" s="35">
        <f t="shared" si="12"/>
        <v>15</v>
      </c>
      <c r="G51" s="35">
        <v>0</v>
      </c>
      <c r="H51" s="6">
        <f t="shared" si="7"/>
        <v>357.05758138674139</v>
      </c>
      <c r="I51" s="36">
        <f t="shared" si="13"/>
        <v>46722</v>
      </c>
      <c r="J51" s="37" t="s">
        <v>107</v>
      </c>
    </row>
    <row r="52" spans="1:10" ht="15" customHeight="1" x14ac:dyDescent="0.25">
      <c r="A52" s="34">
        <v>36</v>
      </c>
      <c r="B52" s="6">
        <f t="shared" si="8"/>
        <v>342.05465146404964</v>
      </c>
      <c r="C52" s="6">
        <f t="shared" si="9"/>
        <v>3.96</v>
      </c>
      <c r="D52" s="6">
        <f t="shared" si="10"/>
        <v>338.09465146404966</v>
      </c>
      <c r="E52" s="6">
        <f t="shared" si="11"/>
        <v>0</v>
      </c>
      <c r="F52" s="35">
        <f t="shared" si="12"/>
        <v>15</v>
      </c>
      <c r="G52" s="35">
        <v>0</v>
      </c>
      <c r="H52" s="6">
        <f t="shared" si="7"/>
        <v>357.05465146404964</v>
      </c>
      <c r="I52" s="36" t="str">
        <f t="shared" si="13"/>
        <v/>
      </c>
      <c r="J52" s="37" t="s">
        <v>107</v>
      </c>
    </row>
    <row r="53" spans="1:10" ht="15" customHeight="1" x14ac:dyDescent="0.25">
      <c r="A53" s="34">
        <v>37</v>
      </c>
      <c r="B53" s="6">
        <f t="shared" si="8"/>
        <v>0</v>
      </c>
      <c r="C53" s="6">
        <f t="shared" si="9"/>
        <v>0</v>
      </c>
      <c r="D53" s="6">
        <f t="shared" si="10"/>
        <v>0</v>
      </c>
      <c r="E53" s="6">
        <f t="shared" si="11"/>
        <v>0</v>
      </c>
      <c r="F53" s="35">
        <f t="shared" si="12"/>
        <v>0</v>
      </c>
      <c r="G53" s="35">
        <v>0</v>
      </c>
      <c r="H53" s="6">
        <f t="shared" si="7"/>
        <v>0</v>
      </c>
      <c r="I53" s="36" t="str">
        <f t="shared" si="13"/>
        <v/>
      </c>
      <c r="J53" s="37" t="s">
        <v>107</v>
      </c>
    </row>
    <row r="54" spans="1:10" ht="15" customHeight="1" x14ac:dyDescent="0.25">
      <c r="A54" s="34">
        <v>38</v>
      </c>
      <c r="B54" s="6">
        <f t="shared" si="8"/>
        <v>0</v>
      </c>
      <c r="C54" s="6">
        <f t="shared" si="9"/>
        <v>0</v>
      </c>
      <c r="D54" s="6">
        <f t="shared" si="10"/>
        <v>0</v>
      </c>
      <c r="E54" s="6">
        <f t="shared" si="11"/>
        <v>0</v>
      </c>
      <c r="F54" s="35">
        <f t="shared" si="12"/>
        <v>0</v>
      </c>
      <c r="G54" s="35">
        <v>0</v>
      </c>
      <c r="H54" s="6">
        <f t="shared" si="7"/>
        <v>0</v>
      </c>
      <c r="I54" s="36" t="str">
        <f t="shared" si="13"/>
        <v/>
      </c>
      <c r="J54" s="37" t="s">
        <v>107</v>
      </c>
    </row>
    <row r="55" spans="1:10" ht="15" customHeight="1" x14ac:dyDescent="0.25">
      <c r="A55" s="34">
        <v>39</v>
      </c>
      <c r="B55" s="6">
        <f t="shared" si="8"/>
        <v>0</v>
      </c>
      <c r="C55" s="6">
        <f t="shared" si="9"/>
        <v>0</v>
      </c>
      <c r="D55" s="6">
        <f t="shared" si="10"/>
        <v>0</v>
      </c>
      <c r="E55" s="6">
        <f t="shared" si="11"/>
        <v>0</v>
      </c>
      <c r="F55" s="35">
        <f t="shared" si="12"/>
        <v>0</v>
      </c>
      <c r="G55" s="35">
        <v>0</v>
      </c>
      <c r="H55" s="6">
        <f t="shared" si="7"/>
        <v>0</v>
      </c>
      <c r="I55" s="36" t="str">
        <f t="shared" si="13"/>
        <v/>
      </c>
      <c r="J55" s="37" t="s">
        <v>107</v>
      </c>
    </row>
    <row r="56" spans="1:10" ht="15" customHeight="1" x14ac:dyDescent="0.25">
      <c r="A56" s="34">
        <v>40</v>
      </c>
      <c r="B56" s="6">
        <f t="shared" si="8"/>
        <v>0</v>
      </c>
      <c r="C56" s="6">
        <f t="shared" si="9"/>
        <v>0</v>
      </c>
      <c r="D56" s="6">
        <f t="shared" si="10"/>
        <v>0</v>
      </c>
      <c r="E56" s="6">
        <f t="shared" si="11"/>
        <v>0</v>
      </c>
      <c r="F56" s="35">
        <f t="shared" si="12"/>
        <v>0</v>
      </c>
      <c r="G56" s="35">
        <v>0</v>
      </c>
      <c r="H56" s="6">
        <f t="shared" si="7"/>
        <v>0</v>
      </c>
      <c r="I56" s="36" t="str">
        <f t="shared" si="13"/>
        <v/>
      </c>
      <c r="J56" s="37" t="s">
        <v>107</v>
      </c>
    </row>
    <row r="57" spans="1:10" ht="15" customHeight="1" x14ac:dyDescent="0.25">
      <c r="A57" s="34">
        <v>41</v>
      </c>
      <c r="B57" s="6">
        <f t="shared" si="8"/>
        <v>0</v>
      </c>
      <c r="C57" s="6">
        <f t="shared" si="9"/>
        <v>0</v>
      </c>
      <c r="D57" s="6">
        <f t="shared" si="10"/>
        <v>0</v>
      </c>
      <c r="E57" s="6">
        <f t="shared" si="11"/>
        <v>0</v>
      </c>
      <c r="F57" s="35">
        <f t="shared" si="12"/>
        <v>0</v>
      </c>
      <c r="G57" s="35">
        <v>0</v>
      </c>
      <c r="H57" s="6">
        <f t="shared" si="7"/>
        <v>0</v>
      </c>
      <c r="I57" s="36" t="str">
        <f t="shared" si="13"/>
        <v/>
      </c>
      <c r="J57" s="37" t="s">
        <v>107</v>
      </c>
    </row>
    <row r="58" spans="1:10" ht="15" customHeight="1" x14ac:dyDescent="0.25">
      <c r="A58" s="34">
        <v>42</v>
      </c>
      <c r="B58" s="6">
        <f t="shared" si="8"/>
        <v>0</v>
      </c>
      <c r="C58" s="6">
        <f t="shared" si="9"/>
        <v>0</v>
      </c>
      <c r="D58" s="6">
        <f t="shared" si="10"/>
        <v>0</v>
      </c>
      <c r="E58" s="6">
        <f t="shared" si="11"/>
        <v>0</v>
      </c>
      <c r="F58" s="35">
        <f t="shared" si="12"/>
        <v>0</v>
      </c>
      <c r="G58" s="35">
        <v>0</v>
      </c>
      <c r="H58" s="6">
        <f t="shared" si="7"/>
        <v>0</v>
      </c>
      <c r="I58" s="36" t="str">
        <f t="shared" si="13"/>
        <v/>
      </c>
      <c r="J58" s="37" t="s">
        <v>107</v>
      </c>
    </row>
    <row r="59" spans="1:10" ht="15" customHeight="1" x14ac:dyDescent="0.25">
      <c r="A59" s="34">
        <v>43</v>
      </c>
      <c r="B59" s="6">
        <f t="shared" si="8"/>
        <v>0</v>
      </c>
      <c r="C59" s="6">
        <f t="shared" si="9"/>
        <v>0</v>
      </c>
      <c r="D59" s="6">
        <f t="shared" si="10"/>
        <v>0</v>
      </c>
      <c r="E59" s="6">
        <f t="shared" si="11"/>
        <v>0</v>
      </c>
      <c r="F59" s="35">
        <f t="shared" si="12"/>
        <v>0</v>
      </c>
      <c r="G59" s="35">
        <v>0</v>
      </c>
      <c r="H59" s="6">
        <f t="shared" si="7"/>
        <v>0</v>
      </c>
      <c r="I59" s="36" t="str">
        <f t="shared" si="13"/>
        <v/>
      </c>
      <c r="J59" s="37" t="s">
        <v>107</v>
      </c>
    </row>
    <row r="60" spans="1:10" ht="15" customHeight="1" x14ac:dyDescent="0.25">
      <c r="A60" s="34">
        <v>44</v>
      </c>
      <c r="B60" s="6">
        <f t="shared" si="8"/>
        <v>0</v>
      </c>
      <c r="C60" s="6">
        <f t="shared" si="9"/>
        <v>0</v>
      </c>
      <c r="D60" s="6">
        <f t="shared" si="10"/>
        <v>0</v>
      </c>
      <c r="E60" s="6">
        <f t="shared" si="11"/>
        <v>0</v>
      </c>
      <c r="F60" s="35">
        <f t="shared" si="12"/>
        <v>0</v>
      </c>
      <c r="G60" s="35">
        <v>0</v>
      </c>
      <c r="H60" s="6">
        <f t="shared" si="7"/>
        <v>0</v>
      </c>
      <c r="I60" s="36" t="str">
        <f t="shared" si="13"/>
        <v/>
      </c>
      <c r="J60" s="37" t="s">
        <v>107</v>
      </c>
    </row>
    <row r="61" spans="1:10" ht="15" customHeight="1" x14ac:dyDescent="0.25">
      <c r="A61" s="34">
        <v>45</v>
      </c>
      <c r="B61" s="6">
        <f t="shared" si="8"/>
        <v>0</v>
      </c>
      <c r="C61" s="6">
        <f t="shared" si="9"/>
        <v>0</v>
      </c>
      <c r="D61" s="6">
        <f t="shared" si="10"/>
        <v>0</v>
      </c>
      <c r="E61" s="6">
        <f t="shared" si="11"/>
        <v>0</v>
      </c>
      <c r="F61" s="35">
        <f t="shared" si="12"/>
        <v>0</v>
      </c>
      <c r="G61" s="35">
        <v>0</v>
      </c>
      <c r="H61" s="6">
        <f t="shared" si="7"/>
        <v>0</v>
      </c>
      <c r="I61" s="36" t="str">
        <f t="shared" si="13"/>
        <v/>
      </c>
      <c r="J61" s="37" t="s">
        <v>107</v>
      </c>
    </row>
    <row r="62" spans="1:10" ht="15" customHeight="1" x14ac:dyDescent="0.25">
      <c r="A62" s="34">
        <v>46</v>
      </c>
      <c r="B62" s="6">
        <f t="shared" si="8"/>
        <v>0</v>
      </c>
      <c r="C62" s="6">
        <f t="shared" si="9"/>
        <v>0</v>
      </c>
      <c r="D62" s="6">
        <f t="shared" si="10"/>
        <v>0</v>
      </c>
      <c r="E62" s="6">
        <f t="shared" si="11"/>
        <v>0</v>
      </c>
      <c r="F62" s="35">
        <f t="shared" si="12"/>
        <v>0</v>
      </c>
      <c r="G62" s="35">
        <v>0</v>
      </c>
      <c r="H62" s="6">
        <f t="shared" si="7"/>
        <v>0</v>
      </c>
      <c r="I62" s="36" t="str">
        <f t="shared" si="13"/>
        <v/>
      </c>
      <c r="J62" s="37" t="s">
        <v>107</v>
      </c>
    </row>
    <row r="63" spans="1:10" ht="15" customHeight="1" x14ac:dyDescent="0.25">
      <c r="A63" s="34">
        <v>47</v>
      </c>
      <c r="B63" s="6">
        <f t="shared" si="8"/>
        <v>0</v>
      </c>
      <c r="C63" s="6">
        <f t="shared" si="9"/>
        <v>0</v>
      </c>
      <c r="D63" s="6">
        <f t="shared" si="10"/>
        <v>0</v>
      </c>
      <c r="E63" s="6">
        <f t="shared" si="11"/>
        <v>0</v>
      </c>
      <c r="F63" s="35">
        <f t="shared" si="12"/>
        <v>0</v>
      </c>
      <c r="G63" s="35">
        <v>0</v>
      </c>
      <c r="H63" s="6">
        <f t="shared" si="7"/>
        <v>0</v>
      </c>
      <c r="I63" s="36" t="str">
        <f t="shared" si="13"/>
        <v/>
      </c>
      <c r="J63" s="37" t="s">
        <v>107</v>
      </c>
    </row>
    <row r="64" spans="1:10" ht="15" customHeight="1" x14ac:dyDescent="0.25">
      <c r="A64" s="34">
        <v>48</v>
      </c>
      <c r="B64" s="6">
        <f t="shared" si="8"/>
        <v>0</v>
      </c>
      <c r="C64" s="6">
        <f t="shared" si="9"/>
        <v>0</v>
      </c>
      <c r="D64" s="6">
        <f t="shared" si="10"/>
        <v>0</v>
      </c>
      <c r="E64" s="6">
        <f t="shared" si="11"/>
        <v>0</v>
      </c>
      <c r="F64" s="35">
        <f t="shared" si="12"/>
        <v>0</v>
      </c>
      <c r="G64" s="35">
        <v>0</v>
      </c>
      <c r="H64" s="6">
        <f t="shared" si="7"/>
        <v>0</v>
      </c>
      <c r="I64" s="36" t="str">
        <f t="shared" si="13"/>
        <v/>
      </c>
      <c r="J64" s="37" t="s">
        <v>107</v>
      </c>
    </row>
    <row r="65" spans="1:10" ht="15" customHeight="1" x14ac:dyDescent="0.25">
      <c r="A65" s="34">
        <v>49</v>
      </c>
      <c r="B65" s="6">
        <f t="shared" si="8"/>
        <v>0</v>
      </c>
      <c r="C65" s="6">
        <f t="shared" si="9"/>
        <v>0</v>
      </c>
      <c r="D65" s="6">
        <f t="shared" si="10"/>
        <v>0</v>
      </c>
      <c r="E65" s="6">
        <f t="shared" si="11"/>
        <v>0</v>
      </c>
      <c r="F65" s="35">
        <f t="shared" si="12"/>
        <v>0</v>
      </c>
      <c r="G65" s="35">
        <v>0</v>
      </c>
      <c r="H65" s="6">
        <f t="shared" si="7"/>
        <v>0</v>
      </c>
      <c r="I65" s="36" t="str">
        <f t="shared" si="13"/>
        <v/>
      </c>
      <c r="J65" s="37" t="s">
        <v>107</v>
      </c>
    </row>
    <row r="66" spans="1:10" ht="15" customHeight="1" x14ac:dyDescent="0.25">
      <c r="A66" s="34">
        <v>50</v>
      </c>
      <c r="B66" s="6">
        <f t="shared" si="8"/>
        <v>0</v>
      </c>
      <c r="C66" s="6">
        <f t="shared" si="9"/>
        <v>0</v>
      </c>
      <c r="D66" s="6">
        <f t="shared" si="10"/>
        <v>0</v>
      </c>
      <c r="E66" s="6">
        <f t="shared" si="11"/>
        <v>0</v>
      </c>
      <c r="F66" s="35">
        <f t="shared" si="12"/>
        <v>0</v>
      </c>
      <c r="G66" s="35">
        <v>0</v>
      </c>
      <c r="H66" s="6">
        <f t="shared" si="7"/>
        <v>0</v>
      </c>
      <c r="I66" s="36" t="str">
        <f t="shared" si="13"/>
        <v/>
      </c>
      <c r="J66" s="37" t="s">
        <v>107</v>
      </c>
    </row>
    <row r="67" spans="1:10" ht="15" customHeight="1" x14ac:dyDescent="0.25">
      <c r="A67" s="34">
        <v>51</v>
      </c>
      <c r="B67" s="6">
        <f t="shared" si="8"/>
        <v>0</v>
      </c>
      <c r="C67" s="6">
        <f t="shared" si="9"/>
        <v>0</v>
      </c>
      <c r="D67" s="6">
        <f t="shared" si="10"/>
        <v>0</v>
      </c>
      <c r="E67" s="6">
        <f t="shared" si="11"/>
        <v>0</v>
      </c>
      <c r="F67" s="35">
        <f t="shared" si="12"/>
        <v>0</v>
      </c>
      <c r="G67" s="35">
        <v>0</v>
      </c>
      <c r="H67" s="6">
        <f t="shared" si="7"/>
        <v>0</v>
      </c>
      <c r="I67" s="36" t="str">
        <f t="shared" si="13"/>
        <v/>
      </c>
      <c r="J67" s="37" t="s">
        <v>107</v>
      </c>
    </row>
    <row r="68" spans="1:10" ht="15" customHeight="1" x14ac:dyDescent="0.25">
      <c r="A68" s="34">
        <v>52</v>
      </c>
      <c r="B68" s="6">
        <f t="shared" si="8"/>
        <v>0</v>
      </c>
      <c r="C68" s="6">
        <f t="shared" si="9"/>
        <v>0</v>
      </c>
      <c r="D68" s="6">
        <f t="shared" si="10"/>
        <v>0</v>
      </c>
      <c r="E68" s="6">
        <f t="shared" si="11"/>
        <v>0</v>
      </c>
      <c r="F68" s="35">
        <f t="shared" si="12"/>
        <v>0</v>
      </c>
      <c r="G68" s="35">
        <v>0</v>
      </c>
      <c r="H68" s="6">
        <f t="shared" si="7"/>
        <v>0</v>
      </c>
      <c r="I68" s="36" t="str">
        <f t="shared" si="13"/>
        <v/>
      </c>
      <c r="J68" s="37" t="s">
        <v>107</v>
      </c>
    </row>
    <row r="69" spans="1:10" ht="15" customHeight="1" x14ac:dyDescent="0.25">
      <c r="A69" s="34">
        <v>53</v>
      </c>
      <c r="B69" s="6">
        <f t="shared" si="8"/>
        <v>0</v>
      </c>
      <c r="C69" s="6">
        <f t="shared" si="9"/>
        <v>0</v>
      </c>
      <c r="D69" s="6">
        <f t="shared" si="10"/>
        <v>0</v>
      </c>
      <c r="E69" s="6">
        <f t="shared" si="11"/>
        <v>0</v>
      </c>
      <c r="F69" s="35">
        <f t="shared" si="12"/>
        <v>0</v>
      </c>
      <c r="G69" s="35">
        <v>0</v>
      </c>
      <c r="H69" s="6">
        <f t="shared" si="7"/>
        <v>0</v>
      </c>
      <c r="I69" s="36" t="str">
        <f t="shared" si="13"/>
        <v/>
      </c>
      <c r="J69" s="37" t="s">
        <v>107</v>
      </c>
    </row>
    <row r="70" spans="1:10" ht="15" customHeight="1" x14ac:dyDescent="0.25">
      <c r="A70" s="34">
        <v>54</v>
      </c>
      <c r="B70" s="6">
        <f t="shared" si="8"/>
        <v>0</v>
      </c>
      <c r="C70" s="6">
        <f t="shared" si="9"/>
        <v>0</v>
      </c>
      <c r="D70" s="6">
        <f t="shared" si="10"/>
        <v>0</v>
      </c>
      <c r="E70" s="6">
        <f t="shared" si="11"/>
        <v>0</v>
      </c>
      <c r="F70" s="35">
        <f t="shared" si="12"/>
        <v>0</v>
      </c>
      <c r="G70" s="35">
        <v>0</v>
      </c>
      <c r="H70" s="6">
        <f t="shared" si="7"/>
        <v>0</v>
      </c>
      <c r="I70" s="36" t="str">
        <f t="shared" si="13"/>
        <v/>
      </c>
      <c r="J70" s="37" t="s">
        <v>107</v>
      </c>
    </row>
    <row r="71" spans="1:10" ht="15" customHeight="1" x14ac:dyDescent="0.25">
      <c r="A71" s="34">
        <v>55</v>
      </c>
      <c r="B71" s="6">
        <f t="shared" si="8"/>
        <v>0</v>
      </c>
      <c r="C71" s="6">
        <f t="shared" si="9"/>
        <v>0</v>
      </c>
      <c r="D71" s="6">
        <f t="shared" si="10"/>
        <v>0</v>
      </c>
      <c r="E71" s="6">
        <f t="shared" si="11"/>
        <v>0</v>
      </c>
      <c r="F71" s="35">
        <f t="shared" si="12"/>
        <v>0</v>
      </c>
      <c r="G71" s="35">
        <v>0</v>
      </c>
      <c r="H71" s="6">
        <f t="shared" si="7"/>
        <v>0</v>
      </c>
      <c r="I71" s="36" t="str">
        <f t="shared" si="13"/>
        <v/>
      </c>
      <c r="J71" s="37" t="s">
        <v>107</v>
      </c>
    </row>
    <row r="72" spans="1:10" ht="15" customHeight="1" x14ac:dyDescent="0.25">
      <c r="A72" s="34">
        <v>56</v>
      </c>
      <c r="B72" s="6">
        <f t="shared" si="8"/>
        <v>0</v>
      </c>
      <c r="C72" s="6">
        <f t="shared" si="9"/>
        <v>0</v>
      </c>
      <c r="D72" s="6">
        <f t="shared" si="10"/>
        <v>0</v>
      </c>
      <c r="E72" s="6">
        <f t="shared" si="11"/>
        <v>0</v>
      </c>
      <c r="F72" s="35">
        <f t="shared" si="12"/>
        <v>0</v>
      </c>
      <c r="G72" s="35">
        <v>0</v>
      </c>
      <c r="H72" s="6">
        <f t="shared" si="7"/>
        <v>0</v>
      </c>
      <c r="I72" s="36" t="str">
        <f t="shared" si="13"/>
        <v/>
      </c>
      <c r="J72" s="37" t="s">
        <v>107</v>
      </c>
    </row>
    <row r="73" spans="1:10" ht="15" customHeight="1" x14ac:dyDescent="0.25">
      <c r="A73" s="34">
        <v>57</v>
      </c>
      <c r="B73" s="6">
        <f t="shared" si="8"/>
        <v>0</v>
      </c>
      <c r="C73" s="6">
        <f t="shared" si="9"/>
        <v>0</v>
      </c>
      <c r="D73" s="6">
        <f t="shared" si="10"/>
        <v>0</v>
      </c>
      <c r="E73" s="6">
        <f t="shared" si="11"/>
        <v>0</v>
      </c>
      <c r="F73" s="35">
        <f t="shared" si="12"/>
        <v>0</v>
      </c>
      <c r="G73" s="35">
        <v>0</v>
      </c>
      <c r="H73" s="6">
        <f t="shared" si="7"/>
        <v>0</v>
      </c>
      <c r="I73" s="36" t="str">
        <f t="shared" si="13"/>
        <v/>
      </c>
      <c r="J73" s="37" t="s">
        <v>107</v>
      </c>
    </row>
    <row r="74" spans="1:10" ht="15" customHeight="1" x14ac:dyDescent="0.25">
      <c r="A74" s="34">
        <v>58</v>
      </c>
      <c r="B74" s="6">
        <f t="shared" si="8"/>
        <v>0</v>
      </c>
      <c r="C74" s="6">
        <f t="shared" si="9"/>
        <v>0</v>
      </c>
      <c r="D74" s="6">
        <f t="shared" si="10"/>
        <v>0</v>
      </c>
      <c r="E74" s="6">
        <f t="shared" si="11"/>
        <v>0</v>
      </c>
      <c r="F74" s="35">
        <f t="shared" si="12"/>
        <v>0</v>
      </c>
      <c r="G74" s="35">
        <v>0</v>
      </c>
      <c r="H74" s="6">
        <f t="shared" si="7"/>
        <v>0</v>
      </c>
      <c r="I74" s="36" t="str">
        <f t="shared" si="13"/>
        <v/>
      </c>
      <c r="J74" s="37" t="s">
        <v>107</v>
      </c>
    </row>
    <row r="75" spans="1:10" ht="15" customHeight="1" x14ac:dyDescent="0.25">
      <c r="A75" s="34">
        <v>59</v>
      </c>
      <c r="B75" s="6">
        <f t="shared" si="8"/>
        <v>0</v>
      </c>
      <c r="C75" s="6">
        <f t="shared" si="9"/>
        <v>0</v>
      </c>
      <c r="D75" s="6">
        <f t="shared" si="10"/>
        <v>0</v>
      </c>
      <c r="E75" s="6">
        <f t="shared" si="11"/>
        <v>0</v>
      </c>
      <c r="F75" s="35">
        <f t="shared" si="12"/>
        <v>0</v>
      </c>
      <c r="G75" s="35">
        <v>0</v>
      </c>
      <c r="H75" s="6">
        <f t="shared" si="7"/>
        <v>0</v>
      </c>
      <c r="I75" s="36" t="str">
        <f t="shared" si="13"/>
        <v/>
      </c>
      <c r="J75" s="37" t="s">
        <v>107</v>
      </c>
    </row>
    <row r="76" spans="1:10" ht="15" customHeight="1" x14ac:dyDescent="0.25">
      <c r="A76" s="34">
        <v>60</v>
      </c>
      <c r="B76" s="6">
        <f t="shared" si="8"/>
        <v>0</v>
      </c>
      <c r="C76" s="6">
        <f t="shared" si="9"/>
        <v>0</v>
      </c>
      <c r="D76" s="6">
        <f t="shared" si="10"/>
        <v>0</v>
      </c>
      <c r="E76" s="6">
        <f t="shared" si="11"/>
        <v>0</v>
      </c>
      <c r="F76" s="35">
        <f t="shared" si="12"/>
        <v>0</v>
      </c>
      <c r="G76" s="35">
        <v>0</v>
      </c>
      <c r="H76" s="6">
        <f t="shared" si="7"/>
        <v>0</v>
      </c>
      <c r="I76" s="36" t="str">
        <f t="shared" si="13"/>
        <v/>
      </c>
      <c r="J76" s="37" t="s">
        <v>107</v>
      </c>
    </row>
    <row r="77" spans="1:10" ht="15" customHeight="1" x14ac:dyDescent="0.25">
      <c r="A77" s="34">
        <v>61</v>
      </c>
      <c r="B77" s="6">
        <f t="shared" si="8"/>
        <v>0</v>
      </c>
      <c r="C77" s="6">
        <f t="shared" si="9"/>
        <v>0</v>
      </c>
      <c r="D77" s="6">
        <f t="shared" si="10"/>
        <v>0</v>
      </c>
      <c r="E77" s="6">
        <f t="shared" si="11"/>
        <v>0</v>
      </c>
      <c r="F77" s="35">
        <f t="shared" si="12"/>
        <v>0</v>
      </c>
      <c r="G77" s="35">
        <v>0</v>
      </c>
      <c r="H77" s="6">
        <f t="shared" si="7"/>
        <v>0</v>
      </c>
      <c r="I77" s="36" t="str">
        <f t="shared" si="13"/>
        <v/>
      </c>
      <c r="J77" s="37" t="s">
        <v>107</v>
      </c>
    </row>
    <row r="78" spans="1:10" ht="15" customHeight="1" x14ac:dyDescent="0.25">
      <c r="A78" s="34">
        <v>62</v>
      </c>
      <c r="B78" s="6">
        <f t="shared" si="8"/>
        <v>0</v>
      </c>
      <c r="C78" s="6">
        <f t="shared" si="9"/>
        <v>0</v>
      </c>
      <c r="D78" s="6">
        <f t="shared" si="10"/>
        <v>0</v>
      </c>
      <c r="E78" s="6">
        <f t="shared" si="11"/>
        <v>0</v>
      </c>
      <c r="F78" s="35">
        <f t="shared" si="12"/>
        <v>0</v>
      </c>
      <c r="G78" s="35">
        <v>0</v>
      </c>
      <c r="H78" s="6">
        <f t="shared" si="7"/>
        <v>0</v>
      </c>
      <c r="I78" s="36" t="str">
        <f t="shared" si="13"/>
        <v/>
      </c>
      <c r="J78" s="37" t="s">
        <v>107</v>
      </c>
    </row>
    <row r="79" spans="1:10" ht="15" customHeight="1" x14ac:dyDescent="0.25">
      <c r="A79" s="34">
        <v>63</v>
      </c>
      <c r="B79" s="6">
        <f t="shared" si="8"/>
        <v>0</v>
      </c>
      <c r="C79" s="6">
        <f t="shared" si="9"/>
        <v>0</v>
      </c>
      <c r="D79" s="6">
        <f t="shared" si="10"/>
        <v>0</v>
      </c>
      <c r="E79" s="6">
        <f t="shared" si="11"/>
        <v>0</v>
      </c>
      <c r="F79" s="35">
        <f t="shared" si="12"/>
        <v>0</v>
      </c>
      <c r="G79" s="35">
        <v>0</v>
      </c>
      <c r="H79" s="6">
        <f t="shared" si="7"/>
        <v>0</v>
      </c>
      <c r="I79" s="36" t="str">
        <f t="shared" si="13"/>
        <v/>
      </c>
      <c r="J79" s="37" t="s">
        <v>107</v>
      </c>
    </row>
    <row r="80" spans="1:10" ht="15" customHeight="1" x14ac:dyDescent="0.25">
      <c r="A80" s="34">
        <v>64</v>
      </c>
      <c r="B80" s="6">
        <f t="shared" si="8"/>
        <v>0</v>
      </c>
      <c r="C80" s="6">
        <f t="shared" si="9"/>
        <v>0</v>
      </c>
      <c r="D80" s="6">
        <f t="shared" si="10"/>
        <v>0</v>
      </c>
      <c r="E80" s="6">
        <f t="shared" si="11"/>
        <v>0</v>
      </c>
      <c r="F80" s="35">
        <f t="shared" si="12"/>
        <v>0</v>
      </c>
      <c r="G80" s="35">
        <v>0</v>
      </c>
      <c r="H80" s="6">
        <f t="shared" si="7"/>
        <v>0</v>
      </c>
      <c r="I80" s="36" t="str">
        <f t="shared" si="13"/>
        <v/>
      </c>
      <c r="J80" s="37" t="s">
        <v>107</v>
      </c>
    </row>
    <row r="81" spans="1:10" ht="15" customHeight="1" x14ac:dyDescent="0.25">
      <c r="A81" s="34">
        <v>65</v>
      </c>
      <c r="B81" s="6">
        <f t="shared" si="8"/>
        <v>0</v>
      </c>
      <c r="C81" s="6">
        <f t="shared" si="9"/>
        <v>0</v>
      </c>
      <c r="D81" s="6">
        <f t="shared" si="10"/>
        <v>0</v>
      </c>
      <c r="E81" s="6">
        <f t="shared" si="11"/>
        <v>0</v>
      </c>
      <c r="F81" s="35">
        <f t="shared" si="12"/>
        <v>0</v>
      </c>
      <c r="G81" s="35">
        <v>0</v>
      </c>
      <c r="H81" s="6">
        <f t="shared" ref="H81:H112" si="14">IF(B81&gt;0,B81+F81,0)</f>
        <v>0</v>
      </c>
      <c r="I81" s="36" t="str">
        <f t="shared" si="13"/>
        <v/>
      </c>
      <c r="J81" s="37" t="s">
        <v>107</v>
      </c>
    </row>
    <row r="82" spans="1:10" ht="15" customHeight="1" x14ac:dyDescent="0.25">
      <c r="A82" s="34">
        <v>66</v>
      </c>
      <c r="B82" s="6">
        <f t="shared" ref="B82:B113" si="15">IF(E81&gt;0,MIN($E$5+G82+$H$11,E81+C82),0)</f>
        <v>0</v>
      </c>
      <c r="C82" s="6">
        <f t="shared" ref="C82:C113" si="16">IF(E81&gt;0,ROUND(E81*$E$4,2),0)</f>
        <v>0</v>
      </c>
      <c r="D82" s="6">
        <f t="shared" ref="D82:D113" si="17">IF(E81&gt;0,B82-C82,0)</f>
        <v>0</v>
      </c>
      <c r="E82" s="6">
        <f t="shared" ref="E82:E113" si="18">IF(E81&gt;0,MAX(E81-D82,0),0)</f>
        <v>0</v>
      </c>
      <c r="F82" s="35">
        <f t="shared" ref="F82:F113" si="19">IF(E81&gt;0,$H$5,0)</f>
        <v>0</v>
      </c>
      <c r="G82" s="35">
        <v>0</v>
      </c>
      <c r="H82" s="6">
        <f t="shared" si="14"/>
        <v>0</v>
      </c>
      <c r="I82" s="36" t="str">
        <f t="shared" ref="I82:I113" si="20">IF(E82&gt;0,EDATE($B$8,A82-1),"")</f>
        <v/>
      </c>
      <c r="J82" s="37" t="s">
        <v>107</v>
      </c>
    </row>
    <row r="83" spans="1:10" ht="15" customHeight="1" x14ac:dyDescent="0.25">
      <c r="A83" s="34">
        <v>67</v>
      </c>
      <c r="B83" s="6">
        <f t="shared" si="15"/>
        <v>0</v>
      </c>
      <c r="C83" s="6">
        <f t="shared" si="16"/>
        <v>0</v>
      </c>
      <c r="D83" s="6">
        <f t="shared" si="17"/>
        <v>0</v>
      </c>
      <c r="E83" s="6">
        <f t="shared" si="18"/>
        <v>0</v>
      </c>
      <c r="F83" s="35">
        <f t="shared" si="19"/>
        <v>0</v>
      </c>
      <c r="G83" s="35">
        <v>0</v>
      </c>
      <c r="H83" s="6">
        <f t="shared" si="14"/>
        <v>0</v>
      </c>
      <c r="I83" s="36" t="str">
        <f t="shared" si="20"/>
        <v/>
      </c>
      <c r="J83" s="37" t="s">
        <v>107</v>
      </c>
    </row>
    <row r="84" spans="1:10" ht="15" customHeight="1" x14ac:dyDescent="0.25">
      <c r="A84" s="34">
        <v>68</v>
      </c>
      <c r="B84" s="6">
        <f t="shared" si="15"/>
        <v>0</v>
      </c>
      <c r="C84" s="6">
        <f t="shared" si="16"/>
        <v>0</v>
      </c>
      <c r="D84" s="6">
        <f t="shared" si="17"/>
        <v>0</v>
      </c>
      <c r="E84" s="6">
        <f t="shared" si="18"/>
        <v>0</v>
      </c>
      <c r="F84" s="35">
        <f t="shared" si="19"/>
        <v>0</v>
      </c>
      <c r="G84" s="35">
        <v>0</v>
      </c>
      <c r="H84" s="6">
        <f t="shared" si="14"/>
        <v>0</v>
      </c>
      <c r="I84" s="36" t="str">
        <f t="shared" si="20"/>
        <v/>
      </c>
      <c r="J84" s="37" t="s">
        <v>107</v>
      </c>
    </row>
    <row r="85" spans="1:10" ht="15" customHeight="1" x14ac:dyDescent="0.25">
      <c r="A85" s="34">
        <v>69</v>
      </c>
      <c r="B85" s="6">
        <f t="shared" si="15"/>
        <v>0</v>
      </c>
      <c r="C85" s="6">
        <f t="shared" si="16"/>
        <v>0</v>
      </c>
      <c r="D85" s="6">
        <f t="shared" si="17"/>
        <v>0</v>
      </c>
      <c r="E85" s="6">
        <f t="shared" si="18"/>
        <v>0</v>
      </c>
      <c r="F85" s="35">
        <f t="shared" si="19"/>
        <v>0</v>
      </c>
      <c r="G85" s="35">
        <v>0</v>
      </c>
      <c r="H85" s="6">
        <f t="shared" si="14"/>
        <v>0</v>
      </c>
      <c r="I85" s="36" t="str">
        <f t="shared" si="20"/>
        <v/>
      </c>
      <c r="J85" s="37" t="s">
        <v>107</v>
      </c>
    </row>
    <row r="86" spans="1:10" ht="15" customHeight="1" x14ac:dyDescent="0.25">
      <c r="A86" s="34">
        <v>70</v>
      </c>
      <c r="B86" s="6">
        <f t="shared" si="15"/>
        <v>0</v>
      </c>
      <c r="C86" s="6">
        <f t="shared" si="16"/>
        <v>0</v>
      </c>
      <c r="D86" s="6">
        <f t="shared" si="17"/>
        <v>0</v>
      </c>
      <c r="E86" s="6">
        <f t="shared" si="18"/>
        <v>0</v>
      </c>
      <c r="F86" s="35">
        <f t="shared" si="19"/>
        <v>0</v>
      </c>
      <c r="G86" s="35">
        <v>0</v>
      </c>
      <c r="H86" s="6">
        <f t="shared" si="14"/>
        <v>0</v>
      </c>
      <c r="I86" s="36" t="str">
        <f t="shared" si="20"/>
        <v/>
      </c>
      <c r="J86" s="37" t="s">
        <v>107</v>
      </c>
    </row>
    <row r="87" spans="1:10" ht="15" customHeight="1" x14ac:dyDescent="0.25">
      <c r="A87" s="34">
        <v>71</v>
      </c>
      <c r="B87" s="6">
        <f t="shared" si="15"/>
        <v>0</v>
      </c>
      <c r="C87" s="6">
        <f t="shared" si="16"/>
        <v>0</v>
      </c>
      <c r="D87" s="6">
        <f t="shared" si="17"/>
        <v>0</v>
      </c>
      <c r="E87" s="6">
        <f t="shared" si="18"/>
        <v>0</v>
      </c>
      <c r="F87" s="35">
        <f t="shared" si="19"/>
        <v>0</v>
      </c>
      <c r="G87" s="35">
        <v>0</v>
      </c>
      <c r="H87" s="6">
        <f t="shared" si="14"/>
        <v>0</v>
      </c>
      <c r="I87" s="36" t="str">
        <f t="shared" si="20"/>
        <v/>
      </c>
      <c r="J87" s="37" t="s">
        <v>107</v>
      </c>
    </row>
    <row r="88" spans="1:10" ht="15" customHeight="1" x14ac:dyDescent="0.25">
      <c r="A88" s="34">
        <v>72</v>
      </c>
      <c r="B88" s="6">
        <f t="shared" si="15"/>
        <v>0</v>
      </c>
      <c r="C88" s="6">
        <f t="shared" si="16"/>
        <v>0</v>
      </c>
      <c r="D88" s="6">
        <f t="shared" si="17"/>
        <v>0</v>
      </c>
      <c r="E88" s="6">
        <f t="shared" si="18"/>
        <v>0</v>
      </c>
      <c r="F88" s="35">
        <f t="shared" si="19"/>
        <v>0</v>
      </c>
      <c r="G88" s="35">
        <v>0</v>
      </c>
      <c r="H88" s="6">
        <f t="shared" si="14"/>
        <v>0</v>
      </c>
      <c r="I88" s="36" t="str">
        <f t="shared" si="20"/>
        <v/>
      </c>
      <c r="J88" s="37" t="s">
        <v>107</v>
      </c>
    </row>
    <row r="89" spans="1:10" ht="15" customHeight="1" x14ac:dyDescent="0.25">
      <c r="A89" s="34">
        <v>73</v>
      </c>
      <c r="B89" s="6">
        <f t="shared" si="15"/>
        <v>0</v>
      </c>
      <c r="C89" s="6">
        <f t="shared" si="16"/>
        <v>0</v>
      </c>
      <c r="D89" s="6">
        <f t="shared" si="17"/>
        <v>0</v>
      </c>
      <c r="E89" s="6">
        <f t="shared" si="18"/>
        <v>0</v>
      </c>
      <c r="F89" s="35">
        <f t="shared" si="19"/>
        <v>0</v>
      </c>
      <c r="G89" s="35">
        <v>0</v>
      </c>
      <c r="H89" s="6">
        <f t="shared" si="14"/>
        <v>0</v>
      </c>
      <c r="I89" s="36" t="str">
        <f t="shared" si="20"/>
        <v/>
      </c>
      <c r="J89" s="37" t="s">
        <v>107</v>
      </c>
    </row>
    <row r="90" spans="1:10" ht="15" customHeight="1" x14ac:dyDescent="0.25">
      <c r="A90" s="34">
        <v>74</v>
      </c>
      <c r="B90" s="6">
        <f t="shared" si="15"/>
        <v>0</v>
      </c>
      <c r="C90" s="6">
        <f t="shared" si="16"/>
        <v>0</v>
      </c>
      <c r="D90" s="6">
        <f t="shared" si="17"/>
        <v>0</v>
      </c>
      <c r="E90" s="6">
        <f t="shared" si="18"/>
        <v>0</v>
      </c>
      <c r="F90" s="35">
        <f t="shared" si="19"/>
        <v>0</v>
      </c>
      <c r="G90" s="35">
        <v>0</v>
      </c>
      <c r="H90" s="6">
        <f t="shared" si="14"/>
        <v>0</v>
      </c>
      <c r="I90" s="36" t="str">
        <f t="shared" si="20"/>
        <v/>
      </c>
      <c r="J90" s="37" t="s">
        <v>107</v>
      </c>
    </row>
    <row r="91" spans="1:10" ht="15" customHeight="1" x14ac:dyDescent="0.25">
      <c r="A91" s="34">
        <v>75</v>
      </c>
      <c r="B91" s="6">
        <f t="shared" si="15"/>
        <v>0</v>
      </c>
      <c r="C91" s="6">
        <f t="shared" si="16"/>
        <v>0</v>
      </c>
      <c r="D91" s="6">
        <f t="shared" si="17"/>
        <v>0</v>
      </c>
      <c r="E91" s="6">
        <f t="shared" si="18"/>
        <v>0</v>
      </c>
      <c r="F91" s="35">
        <f t="shared" si="19"/>
        <v>0</v>
      </c>
      <c r="G91" s="35">
        <v>0</v>
      </c>
      <c r="H91" s="6">
        <f t="shared" si="14"/>
        <v>0</v>
      </c>
      <c r="I91" s="36" t="str">
        <f t="shared" si="20"/>
        <v/>
      </c>
      <c r="J91" s="37" t="s">
        <v>107</v>
      </c>
    </row>
    <row r="92" spans="1:10" ht="15" customHeight="1" x14ac:dyDescent="0.25">
      <c r="A92" s="34">
        <v>76</v>
      </c>
      <c r="B92" s="6">
        <f t="shared" si="15"/>
        <v>0</v>
      </c>
      <c r="C92" s="6">
        <f t="shared" si="16"/>
        <v>0</v>
      </c>
      <c r="D92" s="6">
        <f t="shared" si="17"/>
        <v>0</v>
      </c>
      <c r="E92" s="6">
        <f t="shared" si="18"/>
        <v>0</v>
      </c>
      <c r="F92" s="35">
        <f t="shared" si="19"/>
        <v>0</v>
      </c>
      <c r="G92" s="35">
        <v>0</v>
      </c>
      <c r="H92" s="6">
        <f t="shared" si="14"/>
        <v>0</v>
      </c>
      <c r="I92" s="36" t="str">
        <f t="shared" si="20"/>
        <v/>
      </c>
      <c r="J92" s="37" t="s">
        <v>107</v>
      </c>
    </row>
    <row r="93" spans="1:10" ht="15" customHeight="1" x14ac:dyDescent="0.25">
      <c r="A93" s="34">
        <v>77</v>
      </c>
      <c r="B93" s="6">
        <f t="shared" si="15"/>
        <v>0</v>
      </c>
      <c r="C93" s="6">
        <f t="shared" si="16"/>
        <v>0</v>
      </c>
      <c r="D93" s="6">
        <f t="shared" si="17"/>
        <v>0</v>
      </c>
      <c r="E93" s="6">
        <f t="shared" si="18"/>
        <v>0</v>
      </c>
      <c r="F93" s="35">
        <f t="shared" si="19"/>
        <v>0</v>
      </c>
      <c r="G93" s="35">
        <v>0</v>
      </c>
      <c r="H93" s="6">
        <f t="shared" si="14"/>
        <v>0</v>
      </c>
      <c r="I93" s="36" t="str">
        <f t="shared" si="20"/>
        <v/>
      </c>
      <c r="J93" s="37" t="s">
        <v>107</v>
      </c>
    </row>
    <row r="94" spans="1:10" ht="15" customHeight="1" x14ac:dyDescent="0.25">
      <c r="A94" s="34">
        <v>78</v>
      </c>
      <c r="B94" s="6">
        <f t="shared" si="15"/>
        <v>0</v>
      </c>
      <c r="C94" s="6">
        <f t="shared" si="16"/>
        <v>0</v>
      </c>
      <c r="D94" s="6">
        <f t="shared" si="17"/>
        <v>0</v>
      </c>
      <c r="E94" s="6">
        <f t="shared" si="18"/>
        <v>0</v>
      </c>
      <c r="F94" s="35">
        <f t="shared" si="19"/>
        <v>0</v>
      </c>
      <c r="G94" s="35">
        <v>0</v>
      </c>
      <c r="H94" s="6">
        <f t="shared" si="14"/>
        <v>0</v>
      </c>
      <c r="I94" s="36" t="str">
        <f t="shared" si="20"/>
        <v/>
      </c>
      <c r="J94" s="37" t="s">
        <v>107</v>
      </c>
    </row>
    <row r="95" spans="1:10" ht="15" customHeight="1" x14ac:dyDescent="0.25">
      <c r="A95" s="34">
        <v>79</v>
      </c>
      <c r="B95" s="6">
        <f t="shared" si="15"/>
        <v>0</v>
      </c>
      <c r="C95" s="6">
        <f t="shared" si="16"/>
        <v>0</v>
      </c>
      <c r="D95" s="6">
        <f t="shared" si="17"/>
        <v>0</v>
      </c>
      <c r="E95" s="6">
        <f t="shared" si="18"/>
        <v>0</v>
      </c>
      <c r="F95" s="35">
        <f t="shared" si="19"/>
        <v>0</v>
      </c>
      <c r="G95" s="35">
        <v>0</v>
      </c>
      <c r="H95" s="6">
        <f t="shared" si="14"/>
        <v>0</v>
      </c>
      <c r="I95" s="36" t="str">
        <f t="shared" si="20"/>
        <v/>
      </c>
      <c r="J95" s="37" t="s">
        <v>107</v>
      </c>
    </row>
    <row r="96" spans="1:10" ht="15" customHeight="1" x14ac:dyDescent="0.25">
      <c r="A96" s="34">
        <v>80</v>
      </c>
      <c r="B96" s="6">
        <f t="shared" si="15"/>
        <v>0</v>
      </c>
      <c r="C96" s="6">
        <f t="shared" si="16"/>
        <v>0</v>
      </c>
      <c r="D96" s="6">
        <f t="shared" si="17"/>
        <v>0</v>
      </c>
      <c r="E96" s="6">
        <f t="shared" si="18"/>
        <v>0</v>
      </c>
      <c r="F96" s="35">
        <f t="shared" si="19"/>
        <v>0</v>
      </c>
      <c r="G96" s="35">
        <v>0</v>
      </c>
      <c r="H96" s="6">
        <f t="shared" si="14"/>
        <v>0</v>
      </c>
      <c r="I96" s="36" t="str">
        <f t="shared" si="20"/>
        <v/>
      </c>
      <c r="J96" s="37" t="s">
        <v>107</v>
      </c>
    </row>
    <row r="97" spans="1:10" ht="15" customHeight="1" x14ac:dyDescent="0.25">
      <c r="A97" s="34">
        <v>81</v>
      </c>
      <c r="B97" s="6">
        <f t="shared" si="15"/>
        <v>0</v>
      </c>
      <c r="C97" s="6">
        <f t="shared" si="16"/>
        <v>0</v>
      </c>
      <c r="D97" s="6">
        <f t="shared" si="17"/>
        <v>0</v>
      </c>
      <c r="E97" s="6">
        <f t="shared" si="18"/>
        <v>0</v>
      </c>
      <c r="F97" s="35">
        <f t="shared" si="19"/>
        <v>0</v>
      </c>
      <c r="G97" s="35">
        <v>0</v>
      </c>
      <c r="H97" s="6">
        <f t="shared" si="14"/>
        <v>0</v>
      </c>
      <c r="I97" s="36" t="str">
        <f t="shared" si="20"/>
        <v/>
      </c>
      <c r="J97" s="37" t="s">
        <v>107</v>
      </c>
    </row>
    <row r="98" spans="1:10" ht="15" customHeight="1" x14ac:dyDescent="0.25">
      <c r="A98" s="34">
        <v>82</v>
      </c>
      <c r="B98" s="6">
        <f t="shared" si="15"/>
        <v>0</v>
      </c>
      <c r="C98" s="6">
        <f t="shared" si="16"/>
        <v>0</v>
      </c>
      <c r="D98" s="6">
        <f t="shared" si="17"/>
        <v>0</v>
      </c>
      <c r="E98" s="6">
        <f t="shared" si="18"/>
        <v>0</v>
      </c>
      <c r="F98" s="35">
        <f t="shared" si="19"/>
        <v>0</v>
      </c>
      <c r="G98" s="35">
        <v>0</v>
      </c>
      <c r="H98" s="6">
        <f t="shared" si="14"/>
        <v>0</v>
      </c>
      <c r="I98" s="36" t="str">
        <f t="shared" si="20"/>
        <v/>
      </c>
      <c r="J98" s="37" t="s">
        <v>107</v>
      </c>
    </row>
    <row r="99" spans="1:10" ht="15" customHeight="1" x14ac:dyDescent="0.25">
      <c r="A99" s="34">
        <v>83</v>
      </c>
      <c r="B99" s="6">
        <f t="shared" si="15"/>
        <v>0</v>
      </c>
      <c r="C99" s="6">
        <f t="shared" si="16"/>
        <v>0</v>
      </c>
      <c r="D99" s="6">
        <f t="shared" si="17"/>
        <v>0</v>
      </c>
      <c r="E99" s="6">
        <f t="shared" si="18"/>
        <v>0</v>
      </c>
      <c r="F99" s="35">
        <f t="shared" si="19"/>
        <v>0</v>
      </c>
      <c r="G99" s="35">
        <v>0</v>
      </c>
      <c r="H99" s="6">
        <f t="shared" si="14"/>
        <v>0</v>
      </c>
      <c r="I99" s="36" t="str">
        <f t="shared" si="20"/>
        <v/>
      </c>
      <c r="J99" s="37" t="s">
        <v>107</v>
      </c>
    </row>
    <row r="100" spans="1:10" ht="15" customHeight="1" x14ac:dyDescent="0.25">
      <c r="A100" s="34">
        <v>84</v>
      </c>
      <c r="B100" s="6">
        <f t="shared" si="15"/>
        <v>0</v>
      </c>
      <c r="C100" s="6">
        <f t="shared" si="16"/>
        <v>0</v>
      </c>
      <c r="D100" s="6">
        <f t="shared" si="17"/>
        <v>0</v>
      </c>
      <c r="E100" s="6">
        <f t="shared" si="18"/>
        <v>0</v>
      </c>
      <c r="F100" s="35">
        <f t="shared" si="19"/>
        <v>0</v>
      </c>
      <c r="G100" s="35">
        <v>0</v>
      </c>
      <c r="H100" s="6">
        <f t="shared" si="14"/>
        <v>0</v>
      </c>
      <c r="I100" s="36" t="str">
        <f t="shared" si="20"/>
        <v/>
      </c>
      <c r="J100" s="37" t="s">
        <v>107</v>
      </c>
    </row>
    <row r="101" spans="1:10" ht="15" customHeight="1" x14ac:dyDescent="0.25">
      <c r="A101" s="34">
        <v>85</v>
      </c>
      <c r="B101" s="6">
        <f t="shared" si="15"/>
        <v>0</v>
      </c>
      <c r="C101" s="6">
        <f t="shared" si="16"/>
        <v>0</v>
      </c>
      <c r="D101" s="6">
        <f t="shared" si="17"/>
        <v>0</v>
      </c>
      <c r="E101" s="6">
        <f t="shared" si="18"/>
        <v>0</v>
      </c>
      <c r="F101" s="35">
        <f t="shared" si="19"/>
        <v>0</v>
      </c>
      <c r="G101" s="35">
        <v>0</v>
      </c>
      <c r="H101" s="6">
        <f t="shared" si="14"/>
        <v>0</v>
      </c>
      <c r="I101" s="36" t="str">
        <f t="shared" si="20"/>
        <v/>
      </c>
      <c r="J101" s="37" t="s">
        <v>107</v>
      </c>
    </row>
    <row r="102" spans="1:10" ht="15" customHeight="1" x14ac:dyDescent="0.25">
      <c r="A102" s="34">
        <v>86</v>
      </c>
      <c r="B102" s="6">
        <f t="shared" si="15"/>
        <v>0</v>
      </c>
      <c r="C102" s="6">
        <f t="shared" si="16"/>
        <v>0</v>
      </c>
      <c r="D102" s="6">
        <f t="shared" si="17"/>
        <v>0</v>
      </c>
      <c r="E102" s="6">
        <f t="shared" si="18"/>
        <v>0</v>
      </c>
      <c r="F102" s="35">
        <f t="shared" si="19"/>
        <v>0</v>
      </c>
      <c r="G102" s="35">
        <v>0</v>
      </c>
      <c r="H102" s="6">
        <f t="shared" si="14"/>
        <v>0</v>
      </c>
      <c r="I102" s="36" t="str">
        <f t="shared" si="20"/>
        <v/>
      </c>
      <c r="J102" s="37" t="s">
        <v>107</v>
      </c>
    </row>
    <row r="103" spans="1:10" ht="15" customHeight="1" x14ac:dyDescent="0.25">
      <c r="A103" s="34">
        <v>87</v>
      </c>
      <c r="B103" s="6">
        <f t="shared" si="15"/>
        <v>0</v>
      </c>
      <c r="C103" s="6">
        <f t="shared" si="16"/>
        <v>0</v>
      </c>
      <c r="D103" s="6">
        <f t="shared" si="17"/>
        <v>0</v>
      </c>
      <c r="E103" s="6">
        <f t="shared" si="18"/>
        <v>0</v>
      </c>
      <c r="F103" s="35">
        <f t="shared" si="19"/>
        <v>0</v>
      </c>
      <c r="G103" s="35">
        <v>0</v>
      </c>
      <c r="H103" s="6">
        <f t="shared" si="14"/>
        <v>0</v>
      </c>
      <c r="I103" s="36" t="str">
        <f t="shared" si="20"/>
        <v/>
      </c>
      <c r="J103" s="37" t="s">
        <v>107</v>
      </c>
    </row>
    <row r="104" spans="1:10" ht="15" customHeight="1" x14ac:dyDescent="0.25">
      <c r="A104" s="34">
        <v>88</v>
      </c>
      <c r="B104" s="6">
        <f t="shared" si="15"/>
        <v>0</v>
      </c>
      <c r="C104" s="6">
        <f t="shared" si="16"/>
        <v>0</v>
      </c>
      <c r="D104" s="6">
        <f t="shared" si="17"/>
        <v>0</v>
      </c>
      <c r="E104" s="6">
        <f t="shared" si="18"/>
        <v>0</v>
      </c>
      <c r="F104" s="35">
        <f t="shared" si="19"/>
        <v>0</v>
      </c>
      <c r="G104" s="35">
        <v>0</v>
      </c>
      <c r="H104" s="6">
        <f t="shared" si="14"/>
        <v>0</v>
      </c>
      <c r="I104" s="36" t="str">
        <f t="shared" si="20"/>
        <v/>
      </c>
      <c r="J104" s="37" t="s">
        <v>107</v>
      </c>
    </row>
    <row r="105" spans="1:10" ht="15" customHeight="1" x14ac:dyDescent="0.25">
      <c r="A105" s="34">
        <v>89</v>
      </c>
      <c r="B105" s="6">
        <f t="shared" si="15"/>
        <v>0</v>
      </c>
      <c r="C105" s="6">
        <f t="shared" si="16"/>
        <v>0</v>
      </c>
      <c r="D105" s="6">
        <f t="shared" si="17"/>
        <v>0</v>
      </c>
      <c r="E105" s="6">
        <f t="shared" si="18"/>
        <v>0</v>
      </c>
      <c r="F105" s="35">
        <f t="shared" si="19"/>
        <v>0</v>
      </c>
      <c r="G105" s="35">
        <v>0</v>
      </c>
      <c r="H105" s="6">
        <f t="shared" si="14"/>
        <v>0</v>
      </c>
      <c r="I105" s="36" t="str">
        <f t="shared" si="20"/>
        <v/>
      </c>
      <c r="J105" s="37" t="s">
        <v>107</v>
      </c>
    </row>
    <row r="106" spans="1:10" ht="15" customHeight="1" x14ac:dyDescent="0.25">
      <c r="A106" s="34">
        <v>90</v>
      </c>
      <c r="B106" s="6">
        <f t="shared" si="15"/>
        <v>0</v>
      </c>
      <c r="C106" s="6">
        <f t="shared" si="16"/>
        <v>0</v>
      </c>
      <c r="D106" s="6">
        <f t="shared" si="17"/>
        <v>0</v>
      </c>
      <c r="E106" s="6">
        <f t="shared" si="18"/>
        <v>0</v>
      </c>
      <c r="F106" s="35">
        <f t="shared" si="19"/>
        <v>0</v>
      </c>
      <c r="G106" s="35">
        <v>0</v>
      </c>
      <c r="H106" s="6">
        <f t="shared" si="14"/>
        <v>0</v>
      </c>
      <c r="I106" s="36" t="str">
        <f t="shared" si="20"/>
        <v/>
      </c>
      <c r="J106" s="37" t="s">
        <v>107</v>
      </c>
    </row>
    <row r="107" spans="1:10" ht="15" customHeight="1" x14ac:dyDescent="0.25">
      <c r="A107" s="34">
        <v>91</v>
      </c>
      <c r="B107" s="6">
        <f t="shared" si="15"/>
        <v>0</v>
      </c>
      <c r="C107" s="6">
        <f t="shared" si="16"/>
        <v>0</v>
      </c>
      <c r="D107" s="6">
        <f t="shared" si="17"/>
        <v>0</v>
      </c>
      <c r="E107" s="6">
        <f t="shared" si="18"/>
        <v>0</v>
      </c>
      <c r="F107" s="35">
        <f t="shared" si="19"/>
        <v>0</v>
      </c>
      <c r="G107" s="35">
        <v>0</v>
      </c>
      <c r="H107" s="6">
        <f t="shared" si="14"/>
        <v>0</v>
      </c>
      <c r="I107" s="36" t="str">
        <f t="shared" si="20"/>
        <v/>
      </c>
      <c r="J107" s="37" t="s">
        <v>107</v>
      </c>
    </row>
    <row r="108" spans="1:10" ht="15" customHeight="1" x14ac:dyDescent="0.25">
      <c r="A108" s="34">
        <v>92</v>
      </c>
      <c r="B108" s="6">
        <f t="shared" si="15"/>
        <v>0</v>
      </c>
      <c r="C108" s="6">
        <f t="shared" si="16"/>
        <v>0</v>
      </c>
      <c r="D108" s="6">
        <f t="shared" si="17"/>
        <v>0</v>
      </c>
      <c r="E108" s="6">
        <f t="shared" si="18"/>
        <v>0</v>
      </c>
      <c r="F108" s="35">
        <f t="shared" si="19"/>
        <v>0</v>
      </c>
      <c r="G108" s="35">
        <v>0</v>
      </c>
      <c r="H108" s="6">
        <f t="shared" si="14"/>
        <v>0</v>
      </c>
      <c r="I108" s="36" t="str">
        <f t="shared" si="20"/>
        <v/>
      </c>
      <c r="J108" s="37" t="s">
        <v>107</v>
      </c>
    </row>
    <row r="109" spans="1:10" ht="15" customHeight="1" x14ac:dyDescent="0.25">
      <c r="A109" s="34">
        <v>93</v>
      </c>
      <c r="B109" s="6">
        <f t="shared" si="15"/>
        <v>0</v>
      </c>
      <c r="C109" s="6">
        <f t="shared" si="16"/>
        <v>0</v>
      </c>
      <c r="D109" s="6">
        <f t="shared" si="17"/>
        <v>0</v>
      </c>
      <c r="E109" s="6">
        <f t="shared" si="18"/>
        <v>0</v>
      </c>
      <c r="F109" s="35">
        <f t="shared" si="19"/>
        <v>0</v>
      </c>
      <c r="G109" s="35">
        <v>0</v>
      </c>
      <c r="H109" s="6">
        <f t="shared" si="14"/>
        <v>0</v>
      </c>
      <c r="I109" s="36" t="str">
        <f t="shared" si="20"/>
        <v/>
      </c>
      <c r="J109" s="37" t="s">
        <v>107</v>
      </c>
    </row>
    <row r="110" spans="1:10" ht="15" customHeight="1" x14ac:dyDescent="0.25">
      <c r="A110" s="34">
        <v>94</v>
      </c>
      <c r="B110" s="6">
        <f t="shared" si="15"/>
        <v>0</v>
      </c>
      <c r="C110" s="6">
        <f t="shared" si="16"/>
        <v>0</v>
      </c>
      <c r="D110" s="6">
        <f t="shared" si="17"/>
        <v>0</v>
      </c>
      <c r="E110" s="6">
        <f t="shared" si="18"/>
        <v>0</v>
      </c>
      <c r="F110" s="35">
        <f t="shared" si="19"/>
        <v>0</v>
      </c>
      <c r="G110" s="35">
        <v>0</v>
      </c>
      <c r="H110" s="6">
        <f t="shared" si="14"/>
        <v>0</v>
      </c>
      <c r="I110" s="36" t="str">
        <f t="shared" si="20"/>
        <v/>
      </c>
      <c r="J110" s="37" t="s">
        <v>107</v>
      </c>
    </row>
    <row r="111" spans="1:10" ht="15" customHeight="1" x14ac:dyDescent="0.25">
      <c r="A111" s="34">
        <v>95</v>
      </c>
      <c r="B111" s="6">
        <f t="shared" si="15"/>
        <v>0</v>
      </c>
      <c r="C111" s="6">
        <f t="shared" si="16"/>
        <v>0</v>
      </c>
      <c r="D111" s="6">
        <f t="shared" si="17"/>
        <v>0</v>
      </c>
      <c r="E111" s="6">
        <f t="shared" si="18"/>
        <v>0</v>
      </c>
      <c r="F111" s="35">
        <f t="shared" si="19"/>
        <v>0</v>
      </c>
      <c r="G111" s="35">
        <v>0</v>
      </c>
      <c r="H111" s="6">
        <f t="shared" si="14"/>
        <v>0</v>
      </c>
      <c r="I111" s="36" t="str">
        <f t="shared" si="20"/>
        <v/>
      </c>
      <c r="J111" s="37" t="s">
        <v>107</v>
      </c>
    </row>
    <row r="112" spans="1:10" ht="15" customHeight="1" x14ac:dyDescent="0.25">
      <c r="A112" s="34">
        <v>96</v>
      </c>
      <c r="B112" s="6">
        <f t="shared" si="15"/>
        <v>0</v>
      </c>
      <c r="C112" s="6">
        <f t="shared" si="16"/>
        <v>0</v>
      </c>
      <c r="D112" s="6">
        <f t="shared" si="17"/>
        <v>0</v>
      </c>
      <c r="E112" s="6">
        <f t="shared" si="18"/>
        <v>0</v>
      </c>
      <c r="F112" s="35">
        <f t="shared" si="19"/>
        <v>0</v>
      </c>
      <c r="G112" s="35">
        <v>0</v>
      </c>
      <c r="H112" s="6">
        <f t="shared" si="14"/>
        <v>0</v>
      </c>
      <c r="I112" s="36" t="str">
        <f t="shared" si="20"/>
        <v/>
      </c>
      <c r="J112" s="37" t="s">
        <v>107</v>
      </c>
    </row>
    <row r="113" spans="1:10" ht="15" customHeight="1" x14ac:dyDescent="0.25">
      <c r="A113" s="34">
        <v>97</v>
      </c>
      <c r="B113" s="6">
        <f t="shared" si="15"/>
        <v>0</v>
      </c>
      <c r="C113" s="6">
        <f t="shared" si="16"/>
        <v>0</v>
      </c>
      <c r="D113" s="6">
        <f t="shared" si="17"/>
        <v>0</v>
      </c>
      <c r="E113" s="6">
        <f t="shared" si="18"/>
        <v>0</v>
      </c>
      <c r="F113" s="35">
        <f t="shared" si="19"/>
        <v>0</v>
      </c>
      <c r="G113" s="35">
        <v>0</v>
      </c>
      <c r="H113" s="6">
        <f t="shared" ref="H113:H144" si="21">IF(B113&gt;0,B113+F113,0)</f>
        <v>0</v>
      </c>
      <c r="I113" s="36" t="str">
        <f t="shared" si="20"/>
        <v/>
      </c>
      <c r="J113" s="37" t="s">
        <v>107</v>
      </c>
    </row>
    <row r="114" spans="1:10" ht="15" customHeight="1" x14ac:dyDescent="0.25">
      <c r="A114" s="34">
        <v>98</v>
      </c>
      <c r="B114" s="6">
        <f t="shared" ref="B114:B145" si="22">IF(E113&gt;0,MIN($E$5+G114+$H$11,E113+C114),0)</f>
        <v>0</v>
      </c>
      <c r="C114" s="6">
        <f t="shared" ref="C114:C145" si="23">IF(E113&gt;0,ROUND(E113*$E$4,2),0)</f>
        <v>0</v>
      </c>
      <c r="D114" s="6">
        <f t="shared" ref="D114:D145" si="24">IF(E113&gt;0,B114-C114,0)</f>
        <v>0</v>
      </c>
      <c r="E114" s="6">
        <f t="shared" ref="E114:E145" si="25">IF(E113&gt;0,MAX(E113-D114,0),0)</f>
        <v>0</v>
      </c>
      <c r="F114" s="35">
        <f t="shared" ref="F114:F145" si="26">IF(E113&gt;0,$H$5,0)</f>
        <v>0</v>
      </c>
      <c r="G114" s="35">
        <v>0</v>
      </c>
      <c r="H114" s="6">
        <f t="shared" si="21"/>
        <v>0</v>
      </c>
      <c r="I114" s="36" t="str">
        <f t="shared" ref="I114:I145" si="27">IF(E114&gt;0,EDATE($B$8,A114-1),"")</f>
        <v/>
      </c>
      <c r="J114" s="37" t="s">
        <v>107</v>
      </c>
    </row>
    <row r="115" spans="1:10" ht="15" customHeight="1" x14ac:dyDescent="0.25">
      <c r="A115" s="34">
        <v>99</v>
      </c>
      <c r="B115" s="6">
        <f t="shared" si="22"/>
        <v>0</v>
      </c>
      <c r="C115" s="6">
        <f t="shared" si="23"/>
        <v>0</v>
      </c>
      <c r="D115" s="6">
        <f t="shared" si="24"/>
        <v>0</v>
      </c>
      <c r="E115" s="6">
        <f t="shared" si="25"/>
        <v>0</v>
      </c>
      <c r="F115" s="35">
        <f t="shared" si="26"/>
        <v>0</v>
      </c>
      <c r="G115" s="35">
        <v>0</v>
      </c>
      <c r="H115" s="6">
        <f t="shared" si="21"/>
        <v>0</v>
      </c>
      <c r="I115" s="36" t="str">
        <f t="shared" si="27"/>
        <v/>
      </c>
      <c r="J115" s="37" t="s">
        <v>107</v>
      </c>
    </row>
    <row r="116" spans="1:10" ht="15" customHeight="1" x14ac:dyDescent="0.25">
      <c r="A116" s="34">
        <v>100</v>
      </c>
      <c r="B116" s="6">
        <f t="shared" si="22"/>
        <v>0</v>
      </c>
      <c r="C116" s="6">
        <f t="shared" si="23"/>
        <v>0</v>
      </c>
      <c r="D116" s="6">
        <f t="shared" si="24"/>
        <v>0</v>
      </c>
      <c r="E116" s="6">
        <f t="shared" si="25"/>
        <v>0</v>
      </c>
      <c r="F116" s="35">
        <f t="shared" si="26"/>
        <v>0</v>
      </c>
      <c r="G116" s="35">
        <v>0</v>
      </c>
      <c r="H116" s="6">
        <f t="shared" si="21"/>
        <v>0</v>
      </c>
      <c r="I116" s="36" t="str">
        <f t="shared" si="27"/>
        <v/>
      </c>
      <c r="J116" s="37" t="s">
        <v>107</v>
      </c>
    </row>
    <row r="117" spans="1:10" ht="15" customHeight="1" x14ac:dyDescent="0.25">
      <c r="A117" s="34">
        <v>101</v>
      </c>
      <c r="B117" s="6">
        <f t="shared" si="22"/>
        <v>0</v>
      </c>
      <c r="C117" s="6">
        <f t="shared" si="23"/>
        <v>0</v>
      </c>
      <c r="D117" s="6">
        <f t="shared" si="24"/>
        <v>0</v>
      </c>
      <c r="E117" s="6">
        <f t="shared" si="25"/>
        <v>0</v>
      </c>
      <c r="F117" s="35">
        <f t="shared" si="26"/>
        <v>0</v>
      </c>
      <c r="G117" s="35">
        <v>0</v>
      </c>
      <c r="H117" s="6">
        <f t="shared" si="21"/>
        <v>0</v>
      </c>
      <c r="I117" s="36" t="str">
        <f t="shared" si="27"/>
        <v/>
      </c>
      <c r="J117" s="37" t="s">
        <v>107</v>
      </c>
    </row>
    <row r="118" spans="1:10" ht="15" customHeight="1" x14ac:dyDescent="0.25">
      <c r="A118" s="34">
        <v>102</v>
      </c>
      <c r="B118" s="6">
        <f t="shared" si="22"/>
        <v>0</v>
      </c>
      <c r="C118" s="6">
        <f t="shared" si="23"/>
        <v>0</v>
      </c>
      <c r="D118" s="6">
        <f t="shared" si="24"/>
        <v>0</v>
      </c>
      <c r="E118" s="6">
        <f t="shared" si="25"/>
        <v>0</v>
      </c>
      <c r="F118" s="35">
        <f t="shared" si="26"/>
        <v>0</v>
      </c>
      <c r="G118" s="35">
        <v>0</v>
      </c>
      <c r="H118" s="6">
        <f t="shared" si="21"/>
        <v>0</v>
      </c>
      <c r="I118" s="36" t="str">
        <f t="shared" si="27"/>
        <v/>
      </c>
      <c r="J118" s="37" t="s">
        <v>107</v>
      </c>
    </row>
    <row r="119" spans="1:10" ht="15" customHeight="1" x14ac:dyDescent="0.25">
      <c r="A119" s="34">
        <v>103</v>
      </c>
      <c r="B119" s="6">
        <f t="shared" si="22"/>
        <v>0</v>
      </c>
      <c r="C119" s="6">
        <f t="shared" si="23"/>
        <v>0</v>
      </c>
      <c r="D119" s="6">
        <f t="shared" si="24"/>
        <v>0</v>
      </c>
      <c r="E119" s="6">
        <f t="shared" si="25"/>
        <v>0</v>
      </c>
      <c r="F119" s="35">
        <f t="shared" si="26"/>
        <v>0</v>
      </c>
      <c r="G119" s="35">
        <v>0</v>
      </c>
      <c r="H119" s="6">
        <f t="shared" si="21"/>
        <v>0</v>
      </c>
      <c r="I119" s="36" t="str">
        <f t="shared" si="27"/>
        <v/>
      </c>
      <c r="J119" s="37" t="s">
        <v>107</v>
      </c>
    </row>
    <row r="120" spans="1:10" ht="15" customHeight="1" x14ac:dyDescent="0.25">
      <c r="A120" s="34">
        <v>104</v>
      </c>
      <c r="B120" s="6">
        <f t="shared" si="22"/>
        <v>0</v>
      </c>
      <c r="C120" s="6">
        <f t="shared" si="23"/>
        <v>0</v>
      </c>
      <c r="D120" s="6">
        <f t="shared" si="24"/>
        <v>0</v>
      </c>
      <c r="E120" s="6">
        <f t="shared" si="25"/>
        <v>0</v>
      </c>
      <c r="F120" s="35">
        <f t="shared" si="26"/>
        <v>0</v>
      </c>
      <c r="G120" s="35">
        <v>0</v>
      </c>
      <c r="H120" s="6">
        <f t="shared" si="21"/>
        <v>0</v>
      </c>
      <c r="I120" s="36" t="str">
        <f t="shared" si="27"/>
        <v/>
      </c>
      <c r="J120" s="37" t="s">
        <v>107</v>
      </c>
    </row>
    <row r="121" spans="1:10" ht="15" customHeight="1" x14ac:dyDescent="0.25">
      <c r="A121" s="34">
        <v>105</v>
      </c>
      <c r="B121" s="6">
        <f t="shared" si="22"/>
        <v>0</v>
      </c>
      <c r="C121" s="6">
        <f t="shared" si="23"/>
        <v>0</v>
      </c>
      <c r="D121" s="6">
        <f t="shared" si="24"/>
        <v>0</v>
      </c>
      <c r="E121" s="6">
        <f t="shared" si="25"/>
        <v>0</v>
      </c>
      <c r="F121" s="35">
        <f t="shared" si="26"/>
        <v>0</v>
      </c>
      <c r="G121" s="35">
        <v>0</v>
      </c>
      <c r="H121" s="6">
        <f t="shared" si="21"/>
        <v>0</v>
      </c>
      <c r="I121" s="36" t="str">
        <f t="shared" si="27"/>
        <v/>
      </c>
      <c r="J121" s="37" t="s">
        <v>107</v>
      </c>
    </row>
    <row r="122" spans="1:10" ht="15" customHeight="1" x14ac:dyDescent="0.25">
      <c r="A122" s="34">
        <v>106</v>
      </c>
      <c r="B122" s="6">
        <f t="shared" si="22"/>
        <v>0</v>
      </c>
      <c r="C122" s="6">
        <f t="shared" si="23"/>
        <v>0</v>
      </c>
      <c r="D122" s="6">
        <f t="shared" si="24"/>
        <v>0</v>
      </c>
      <c r="E122" s="6">
        <f t="shared" si="25"/>
        <v>0</v>
      </c>
      <c r="F122" s="35">
        <f t="shared" si="26"/>
        <v>0</v>
      </c>
      <c r="G122" s="35">
        <v>0</v>
      </c>
      <c r="H122" s="6">
        <f t="shared" si="21"/>
        <v>0</v>
      </c>
      <c r="I122" s="36" t="str">
        <f t="shared" si="27"/>
        <v/>
      </c>
      <c r="J122" s="37" t="s">
        <v>107</v>
      </c>
    </row>
    <row r="123" spans="1:10" ht="15" customHeight="1" x14ac:dyDescent="0.25">
      <c r="A123" s="34">
        <v>107</v>
      </c>
      <c r="B123" s="6">
        <f t="shared" si="22"/>
        <v>0</v>
      </c>
      <c r="C123" s="6">
        <f t="shared" si="23"/>
        <v>0</v>
      </c>
      <c r="D123" s="6">
        <f t="shared" si="24"/>
        <v>0</v>
      </c>
      <c r="E123" s="6">
        <f t="shared" si="25"/>
        <v>0</v>
      </c>
      <c r="F123" s="35">
        <f t="shared" si="26"/>
        <v>0</v>
      </c>
      <c r="G123" s="35">
        <v>0</v>
      </c>
      <c r="H123" s="6">
        <f t="shared" si="21"/>
        <v>0</v>
      </c>
      <c r="I123" s="36" t="str">
        <f t="shared" si="27"/>
        <v/>
      </c>
      <c r="J123" s="37" t="s">
        <v>107</v>
      </c>
    </row>
    <row r="124" spans="1:10" ht="15" customHeight="1" x14ac:dyDescent="0.25">
      <c r="A124" s="34">
        <v>108</v>
      </c>
      <c r="B124" s="6">
        <f t="shared" si="22"/>
        <v>0</v>
      </c>
      <c r="C124" s="6">
        <f t="shared" si="23"/>
        <v>0</v>
      </c>
      <c r="D124" s="6">
        <f t="shared" si="24"/>
        <v>0</v>
      </c>
      <c r="E124" s="6">
        <f t="shared" si="25"/>
        <v>0</v>
      </c>
      <c r="F124" s="35">
        <f t="shared" si="26"/>
        <v>0</v>
      </c>
      <c r="G124" s="35">
        <v>0</v>
      </c>
      <c r="H124" s="6">
        <f t="shared" si="21"/>
        <v>0</v>
      </c>
      <c r="I124" s="36" t="str">
        <f t="shared" si="27"/>
        <v/>
      </c>
      <c r="J124" s="37" t="s">
        <v>107</v>
      </c>
    </row>
    <row r="125" spans="1:10" ht="15" customHeight="1" x14ac:dyDescent="0.25">
      <c r="A125" s="34">
        <v>109</v>
      </c>
      <c r="B125" s="6">
        <f t="shared" si="22"/>
        <v>0</v>
      </c>
      <c r="C125" s="6">
        <f t="shared" si="23"/>
        <v>0</v>
      </c>
      <c r="D125" s="6">
        <f t="shared" si="24"/>
        <v>0</v>
      </c>
      <c r="E125" s="6">
        <f t="shared" si="25"/>
        <v>0</v>
      </c>
      <c r="F125" s="35">
        <f t="shared" si="26"/>
        <v>0</v>
      </c>
      <c r="G125" s="35">
        <v>0</v>
      </c>
      <c r="H125" s="6">
        <f t="shared" si="21"/>
        <v>0</v>
      </c>
      <c r="I125" s="36" t="str">
        <f t="shared" si="27"/>
        <v/>
      </c>
      <c r="J125" s="37" t="s">
        <v>107</v>
      </c>
    </row>
    <row r="126" spans="1:10" ht="15" customHeight="1" x14ac:dyDescent="0.25">
      <c r="A126" s="34">
        <v>110</v>
      </c>
      <c r="B126" s="6">
        <f t="shared" si="22"/>
        <v>0</v>
      </c>
      <c r="C126" s="6">
        <f t="shared" si="23"/>
        <v>0</v>
      </c>
      <c r="D126" s="6">
        <f t="shared" si="24"/>
        <v>0</v>
      </c>
      <c r="E126" s="6">
        <f t="shared" si="25"/>
        <v>0</v>
      </c>
      <c r="F126" s="35">
        <f t="shared" si="26"/>
        <v>0</v>
      </c>
      <c r="G126" s="35">
        <v>0</v>
      </c>
      <c r="H126" s="6">
        <f t="shared" si="21"/>
        <v>0</v>
      </c>
      <c r="I126" s="36" t="str">
        <f t="shared" si="27"/>
        <v/>
      </c>
      <c r="J126" s="37" t="s">
        <v>107</v>
      </c>
    </row>
    <row r="127" spans="1:10" ht="15" customHeight="1" x14ac:dyDescent="0.25">
      <c r="A127" s="34">
        <v>111</v>
      </c>
      <c r="B127" s="6">
        <f t="shared" si="22"/>
        <v>0</v>
      </c>
      <c r="C127" s="6">
        <f t="shared" si="23"/>
        <v>0</v>
      </c>
      <c r="D127" s="6">
        <f t="shared" si="24"/>
        <v>0</v>
      </c>
      <c r="E127" s="6">
        <f t="shared" si="25"/>
        <v>0</v>
      </c>
      <c r="F127" s="35">
        <f t="shared" si="26"/>
        <v>0</v>
      </c>
      <c r="G127" s="35">
        <v>0</v>
      </c>
      <c r="H127" s="6">
        <f t="shared" si="21"/>
        <v>0</v>
      </c>
      <c r="I127" s="36" t="str">
        <f t="shared" si="27"/>
        <v/>
      </c>
      <c r="J127" s="37" t="s">
        <v>107</v>
      </c>
    </row>
    <row r="128" spans="1:10" ht="15" customHeight="1" x14ac:dyDescent="0.25">
      <c r="A128" s="34">
        <v>112</v>
      </c>
      <c r="B128" s="6">
        <f t="shared" si="22"/>
        <v>0</v>
      </c>
      <c r="C128" s="6">
        <f t="shared" si="23"/>
        <v>0</v>
      </c>
      <c r="D128" s="6">
        <f t="shared" si="24"/>
        <v>0</v>
      </c>
      <c r="E128" s="6">
        <f t="shared" si="25"/>
        <v>0</v>
      </c>
      <c r="F128" s="35">
        <f t="shared" si="26"/>
        <v>0</v>
      </c>
      <c r="G128" s="35">
        <v>0</v>
      </c>
      <c r="H128" s="6">
        <f t="shared" si="21"/>
        <v>0</v>
      </c>
      <c r="I128" s="36" t="str">
        <f t="shared" si="27"/>
        <v/>
      </c>
      <c r="J128" s="37" t="s">
        <v>107</v>
      </c>
    </row>
    <row r="129" spans="1:10" ht="15" customHeight="1" x14ac:dyDescent="0.25">
      <c r="A129" s="34">
        <v>113</v>
      </c>
      <c r="B129" s="6">
        <f t="shared" si="22"/>
        <v>0</v>
      </c>
      <c r="C129" s="6">
        <f t="shared" si="23"/>
        <v>0</v>
      </c>
      <c r="D129" s="6">
        <f t="shared" si="24"/>
        <v>0</v>
      </c>
      <c r="E129" s="6">
        <f t="shared" si="25"/>
        <v>0</v>
      </c>
      <c r="F129" s="35">
        <f t="shared" si="26"/>
        <v>0</v>
      </c>
      <c r="G129" s="35">
        <v>0</v>
      </c>
      <c r="H129" s="6">
        <f t="shared" si="21"/>
        <v>0</v>
      </c>
      <c r="I129" s="36" t="str">
        <f t="shared" si="27"/>
        <v/>
      </c>
      <c r="J129" s="37" t="s">
        <v>107</v>
      </c>
    </row>
    <row r="130" spans="1:10" ht="15" customHeight="1" x14ac:dyDescent="0.25">
      <c r="A130" s="34">
        <v>114</v>
      </c>
      <c r="B130" s="6">
        <f t="shared" si="22"/>
        <v>0</v>
      </c>
      <c r="C130" s="6">
        <f t="shared" si="23"/>
        <v>0</v>
      </c>
      <c r="D130" s="6">
        <f t="shared" si="24"/>
        <v>0</v>
      </c>
      <c r="E130" s="6">
        <f t="shared" si="25"/>
        <v>0</v>
      </c>
      <c r="F130" s="35">
        <f t="shared" si="26"/>
        <v>0</v>
      </c>
      <c r="G130" s="35">
        <v>0</v>
      </c>
      <c r="H130" s="6">
        <f t="shared" si="21"/>
        <v>0</v>
      </c>
      <c r="I130" s="36" t="str">
        <f t="shared" si="27"/>
        <v/>
      </c>
      <c r="J130" s="37" t="s">
        <v>107</v>
      </c>
    </row>
    <row r="131" spans="1:10" ht="15" customHeight="1" x14ac:dyDescent="0.25">
      <c r="A131" s="34">
        <v>115</v>
      </c>
      <c r="B131" s="6">
        <f t="shared" si="22"/>
        <v>0</v>
      </c>
      <c r="C131" s="6">
        <f t="shared" si="23"/>
        <v>0</v>
      </c>
      <c r="D131" s="6">
        <f t="shared" si="24"/>
        <v>0</v>
      </c>
      <c r="E131" s="6">
        <f t="shared" si="25"/>
        <v>0</v>
      </c>
      <c r="F131" s="35">
        <f t="shared" si="26"/>
        <v>0</v>
      </c>
      <c r="G131" s="35">
        <v>0</v>
      </c>
      <c r="H131" s="6">
        <f t="shared" si="21"/>
        <v>0</v>
      </c>
      <c r="I131" s="36" t="str">
        <f t="shared" si="27"/>
        <v/>
      </c>
      <c r="J131" s="37" t="s">
        <v>107</v>
      </c>
    </row>
    <row r="132" spans="1:10" ht="15" customHeight="1" x14ac:dyDescent="0.25">
      <c r="A132" s="34">
        <v>116</v>
      </c>
      <c r="B132" s="6">
        <f t="shared" si="22"/>
        <v>0</v>
      </c>
      <c r="C132" s="6">
        <f t="shared" si="23"/>
        <v>0</v>
      </c>
      <c r="D132" s="6">
        <f t="shared" si="24"/>
        <v>0</v>
      </c>
      <c r="E132" s="6">
        <f t="shared" si="25"/>
        <v>0</v>
      </c>
      <c r="F132" s="35">
        <f t="shared" si="26"/>
        <v>0</v>
      </c>
      <c r="G132" s="35">
        <v>0</v>
      </c>
      <c r="H132" s="6">
        <f t="shared" si="21"/>
        <v>0</v>
      </c>
      <c r="I132" s="36" t="str">
        <f t="shared" si="27"/>
        <v/>
      </c>
      <c r="J132" s="37" t="s">
        <v>107</v>
      </c>
    </row>
    <row r="133" spans="1:10" ht="15" customHeight="1" x14ac:dyDescent="0.25">
      <c r="A133" s="34">
        <v>117</v>
      </c>
      <c r="B133" s="6">
        <f t="shared" si="22"/>
        <v>0</v>
      </c>
      <c r="C133" s="6">
        <f t="shared" si="23"/>
        <v>0</v>
      </c>
      <c r="D133" s="6">
        <f t="shared" si="24"/>
        <v>0</v>
      </c>
      <c r="E133" s="6">
        <f t="shared" si="25"/>
        <v>0</v>
      </c>
      <c r="F133" s="35">
        <f t="shared" si="26"/>
        <v>0</v>
      </c>
      <c r="G133" s="35">
        <v>0</v>
      </c>
      <c r="H133" s="6">
        <f t="shared" si="21"/>
        <v>0</v>
      </c>
      <c r="I133" s="36" t="str">
        <f t="shared" si="27"/>
        <v/>
      </c>
      <c r="J133" s="37" t="s">
        <v>107</v>
      </c>
    </row>
    <row r="134" spans="1:10" ht="15" customHeight="1" x14ac:dyDescent="0.25">
      <c r="A134" s="34">
        <v>118</v>
      </c>
      <c r="B134" s="6">
        <f t="shared" si="22"/>
        <v>0</v>
      </c>
      <c r="C134" s="6">
        <f t="shared" si="23"/>
        <v>0</v>
      </c>
      <c r="D134" s="6">
        <f t="shared" si="24"/>
        <v>0</v>
      </c>
      <c r="E134" s="6">
        <f t="shared" si="25"/>
        <v>0</v>
      </c>
      <c r="F134" s="35">
        <f t="shared" si="26"/>
        <v>0</v>
      </c>
      <c r="G134" s="35">
        <v>0</v>
      </c>
      <c r="H134" s="6">
        <f t="shared" si="21"/>
        <v>0</v>
      </c>
      <c r="I134" s="36" t="str">
        <f t="shared" si="27"/>
        <v/>
      </c>
      <c r="J134" s="37" t="s">
        <v>107</v>
      </c>
    </row>
    <row r="135" spans="1:10" ht="15" customHeight="1" x14ac:dyDescent="0.25">
      <c r="A135" s="34">
        <v>119</v>
      </c>
      <c r="B135" s="6">
        <f t="shared" si="22"/>
        <v>0</v>
      </c>
      <c r="C135" s="6">
        <f t="shared" si="23"/>
        <v>0</v>
      </c>
      <c r="D135" s="6">
        <f t="shared" si="24"/>
        <v>0</v>
      </c>
      <c r="E135" s="6">
        <f t="shared" si="25"/>
        <v>0</v>
      </c>
      <c r="F135" s="35">
        <f t="shared" si="26"/>
        <v>0</v>
      </c>
      <c r="G135" s="35">
        <v>0</v>
      </c>
      <c r="H135" s="6">
        <f t="shared" si="21"/>
        <v>0</v>
      </c>
      <c r="I135" s="36" t="str">
        <f t="shared" si="27"/>
        <v/>
      </c>
      <c r="J135" s="37" t="s">
        <v>107</v>
      </c>
    </row>
    <row r="136" spans="1:10" ht="15" customHeight="1" x14ac:dyDescent="0.25">
      <c r="A136" s="34">
        <v>120</v>
      </c>
      <c r="B136" s="6">
        <f t="shared" si="22"/>
        <v>0</v>
      </c>
      <c r="C136" s="6">
        <f t="shared" si="23"/>
        <v>0</v>
      </c>
      <c r="D136" s="6">
        <f t="shared" si="24"/>
        <v>0</v>
      </c>
      <c r="E136" s="6">
        <f t="shared" si="25"/>
        <v>0</v>
      </c>
      <c r="F136" s="35">
        <f t="shared" si="26"/>
        <v>0</v>
      </c>
      <c r="G136" s="35">
        <v>0</v>
      </c>
      <c r="H136" s="6">
        <f t="shared" si="21"/>
        <v>0</v>
      </c>
      <c r="I136" s="36" t="str">
        <f t="shared" si="27"/>
        <v/>
      </c>
      <c r="J136" s="37" t="s">
        <v>107</v>
      </c>
    </row>
    <row r="137" spans="1:10" ht="15" customHeight="1" x14ac:dyDescent="0.25">
      <c r="A137" s="34">
        <v>121</v>
      </c>
      <c r="B137" s="6">
        <f t="shared" si="22"/>
        <v>0</v>
      </c>
      <c r="C137" s="6">
        <f t="shared" si="23"/>
        <v>0</v>
      </c>
      <c r="D137" s="6">
        <f t="shared" si="24"/>
        <v>0</v>
      </c>
      <c r="E137" s="6">
        <f t="shared" si="25"/>
        <v>0</v>
      </c>
      <c r="F137" s="35">
        <f t="shared" si="26"/>
        <v>0</v>
      </c>
      <c r="G137" s="35">
        <v>0</v>
      </c>
      <c r="H137" s="6">
        <f t="shared" si="21"/>
        <v>0</v>
      </c>
      <c r="I137" s="36" t="str">
        <f t="shared" si="27"/>
        <v/>
      </c>
      <c r="J137" s="37" t="s">
        <v>107</v>
      </c>
    </row>
    <row r="138" spans="1:10" ht="15" customHeight="1" x14ac:dyDescent="0.25">
      <c r="A138" s="34">
        <v>122</v>
      </c>
      <c r="B138" s="6">
        <f t="shared" si="22"/>
        <v>0</v>
      </c>
      <c r="C138" s="6">
        <f t="shared" si="23"/>
        <v>0</v>
      </c>
      <c r="D138" s="6">
        <f t="shared" si="24"/>
        <v>0</v>
      </c>
      <c r="E138" s="6">
        <f t="shared" si="25"/>
        <v>0</v>
      </c>
      <c r="F138" s="35">
        <f t="shared" si="26"/>
        <v>0</v>
      </c>
      <c r="G138" s="35">
        <v>0</v>
      </c>
      <c r="H138" s="6">
        <f t="shared" si="21"/>
        <v>0</v>
      </c>
      <c r="I138" s="36" t="str">
        <f t="shared" si="27"/>
        <v/>
      </c>
      <c r="J138" s="37" t="s">
        <v>107</v>
      </c>
    </row>
    <row r="139" spans="1:10" ht="15" customHeight="1" x14ac:dyDescent="0.25">
      <c r="A139" s="34">
        <v>123</v>
      </c>
      <c r="B139" s="6">
        <f t="shared" si="22"/>
        <v>0</v>
      </c>
      <c r="C139" s="6">
        <f t="shared" si="23"/>
        <v>0</v>
      </c>
      <c r="D139" s="6">
        <f t="shared" si="24"/>
        <v>0</v>
      </c>
      <c r="E139" s="6">
        <f t="shared" si="25"/>
        <v>0</v>
      </c>
      <c r="F139" s="35">
        <f t="shared" si="26"/>
        <v>0</v>
      </c>
      <c r="G139" s="35">
        <v>0</v>
      </c>
      <c r="H139" s="6">
        <f t="shared" si="21"/>
        <v>0</v>
      </c>
      <c r="I139" s="36" t="str">
        <f t="shared" si="27"/>
        <v/>
      </c>
      <c r="J139" s="37" t="s">
        <v>107</v>
      </c>
    </row>
    <row r="140" spans="1:10" ht="15" customHeight="1" x14ac:dyDescent="0.25">
      <c r="A140" s="34">
        <v>124</v>
      </c>
      <c r="B140" s="6">
        <f t="shared" si="22"/>
        <v>0</v>
      </c>
      <c r="C140" s="6">
        <f t="shared" si="23"/>
        <v>0</v>
      </c>
      <c r="D140" s="6">
        <f t="shared" si="24"/>
        <v>0</v>
      </c>
      <c r="E140" s="6">
        <f t="shared" si="25"/>
        <v>0</v>
      </c>
      <c r="F140" s="35">
        <f t="shared" si="26"/>
        <v>0</v>
      </c>
      <c r="G140" s="35">
        <v>0</v>
      </c>
      <c r="H140" s="6">
        <f t="shared" si="21"/>
        <v>0</v>
      </c>
      <c r="I140" s="36" t="str">
        <f t="shared" si="27"/>
        <v/>
      </c>
      <c r="J140" s="37" t="s">
        <v>107</v>
      </c>
    </row>
    <row r="141" spans="1:10" ht="15" customHeight="1" x14ac:dyDescent="0.25">
      <c r="A141" s="34">
        <v>125</v>
      </c>
      <c r="B141" s="6">
        <f t="shared" si="22"/>
        <v>0</v>
      </c>
      <c r="C141" s="6">
        <f t="shared" si="23"/>
        <v>0</v>
      </c>
      <c r="D141" s="6">
        <f t="shared" si="24"/>
        <v>0</v>
      </c>
      <c r="E141" s="6">
        <f t="shared" si="25"/>
        <v>0</v>
      </c>
      <c r="F141" s="35">
        <f t="shared" si="26"/>
        <v>0</v>
      </c>
      <c r="G141" s="35">
        <v>0</v>
      </c>
      <c r="H141" s="6">
        <f t="shared" si="21"/>
        <v>0</v>
      </c>
      <c r="I141" s="36" t="str">
        <f t="shared" si="27"/>
        <v/>
      </c>
      <c r="J141" s="37" t="s">
        <v>107</v>
      </c>
    </row>
    <row r="142" spans="1:10" ht="15" customHeight="1" x14ac:dyDescent="0.25">
      <c r="A142" s="34">
        <v>126</v>
      </c>
      <c r="B142" s="6">
        <f t="shared" si="22"/>
        <v>0</v>
      </c>
      <c r="C142" s="6">
        <f t="shared" si="23"/>
        <v>0</v>
      </c>
      <c r="D142" s="6">
        <f t="shared" si="24"/>
        <v>0</v>
      </c>
      <c r="E142" s="6">
        <f t="shared" si="25"/>
        <v>0</v>
      </c>
      <c r="F142" s="35">
        <f t="shared" si="26"/>
        <v>0</v>
      </c>
      <c r="G142" s="35">
        <v>0</v>
      </c>
      <c r="H142" s="6">
        <f t="shared" si="21"/>
        <v>0</v>
      </c>
      <c r="I142" s="36" t="str">
        <f t="shared" si="27"/>
        <v/>
      </c>
      <c r="J142" s="37" t="s">
        <v>107</v>
      </c>
    </row>
    <row r="143" spans="1:10" ht="15" customHeight="1" x14ac:dyDescent="0.25">
      <c r="A143" s="34">
        <v>127</v>
      </c>
      <c r="B143" s="6">
        <f t="shared" si="22"/>
        <v>0</v>
      </c>
      <c r="C143" s="6">
        <f t="shared" si="23"/>
        <v>0</v>
      </c>
      <c r="D143" s="6">
        <f t="shared" si="24"/>
        <v>0</v>
      </c>
      <c r="E143" s="6">
        <f t="shared" si="25"/>
        <v>0</v>
      </c>
      <c r="F143" s="35">
        <f t="shared" si="26"/>
        <v>0</v>
      </c>
      <c r="G143" s="35">
        <v>0</v>
      </c>
      <c r="H143" s="6">
        <f t="shared" si="21"/>
        <v>0</v>
      </c>
      <c r="I143" s="36" t="str">
        <f t="shared" si="27"/>
        <v/>
      </c>
      <c r="J143" s="37" t="s">
        <v>107</v>
      </c>
    </row>
    <row r="144" spans="1:10" ht="15" customHeight="1" x14ac:dyDescent="0.25">
      <c r="A144" s="34">
        <v>128</v>
      </c>
      <c r="B144" s="6">
        <f t="shared" si="22"/>
        <v>0</v>
      </c>
      <c r="C144" s="6">
        <f t="shared" si="23"/>
        <v>0</v>
      </c>
      <c r="D144" s="6">
        <f t="shared" si="24"/>
        <v>0</v>
      </c>
      <c r="E144" s="6">
        <f t="shared" si="25"/>
        <v>0</v>
      </c>
      <c r="F144" s="35">
        <f t="shared" si="26"/>
        <v>0</v>
      </c>
      <c r="G144" s="35">
        <v>0</v>
      </c>
      <c r="H144" s="6">
        <f t="shared" si="21"/>
        <v>0</v>
      </c>
      <c r="I144" s="36" t="str">
        <f t="shared" si="27"/>
        <v/>
      </c>
      <c r="J144" s="37" t="s">
        <v>107</v>
      </c>
    </row>
    <row r="145" spans="1:10" ht="15" customHeight="1" x14ac:dyDescent="0.25">
      <c r="A145" s="34">
        <v>129</v>
      </c>
      <c r="B145" s="6">
        <f t="shared" si="22"/>
        <v>0</v>
      </c>
      <c r="C145" s="6">
        <f t="shared" si="23"/>
        <v>0</v>
      </c>
      <c r="D145" s="6">
        <f t="shared" si="24"/>
        <v>0</v>
      </c>
      <c r="E145" s="6">
        <f t="shared" si="25"/>
        <v>0</v>
      </c>
      <c r="F145" s="35">
        <f t="shared" si="26"/>
        <v>0</v>
      </c>
      <c r="G145" s="35">
        <v>0</v>
      </c>
      <c r="H145" s="6">
        <f t="shared" ref="H145:H176" si="28">IF(B145&gt;0,B145+F145,0)</f>
        <v>0</v>
      </c>
      <c r="I145" s="36" t="str">
        <f t="shared" si="27"/>
        <v/>
      </c>
      <c r="J145" s="37" t="s">
        <v>107</v>
      </c>
    </row>
    <row r="146" spans="1:10" ht="15" customHeight="1" x14ac:dyDescent="0.25">
      <c r="A146" s="34">
        <v>130</v>
      </c>
      <c r="B146" s="6">
        <f t="shared" ref="B146:B177" si="29">IF(E145&gt;0,MIN($E$5+G146+$H$11,E145+C146),0)</f>
        <v>0</v>
      </c>
      <c r="C146" s="6">
        <f t="shared" ref="C146:C177" si="30">IF(E145&gt;0,ROUND(E145*$E$4,2),0)</f>
        <v>0</v>
      </c>
      <c r="D146" s="6">
        <f t="shared" ref="D146:D177" si="31">IF(E145&gt;0,B146-C146,0)</f>
        <v>0</v>
      </c>
      <c r="E146" s="6">
        <f t="shared" ref="E146:E177" si="32">IF(E145&gt;0,MAX(E145-D146,0),0)</f>
        <v>0</v>
      </c>
      <c r="F146" s="35">
        <f t="shared" ref="F146:F177" si="33">IF(E145&gt;0,$H$5,0)</f>
        <v>0</v>
      </c>
      <c r="G146" s="35">
        <v>0</v>
      </c>
      <c r="H146" s="6">
        <f t="shared" si="28"/>
        <v>0</v>
      </c>
      <c r="I146" s="36" t="str">
        <f t="shared" ref="I146:I177" si="34">IF(E146&gt;0,EDATE($B$8,A146-1),"")</f>
        <v/>
      </c>
      <c r="J146" s="37" t="s">
        <v>107</v>
      </c>
    </row>
    <row r="147" spans="1:10" ht="15" customHeight="1" x14ac:dyDescent="0.25">
      <c r="A147" s="34">
        <v>131</v>
      </c>
      <c r="B147" s="6">
        <f t="shared" si="29"/>
        <v>0</v>
      </c>
      <c r="C147" s="6">
        <f t="shared" si="30"/>
        <v>0</v>
      </c>
      <c r="D147" s="6">
        <f t="shared" si="31"/>
        <v>0</v>
      </c>
      <c r="E147" s="6">
        <f t="shared" si="32"/>
        <v>0</v>
      </c>
      <c r="F147" s="35">
        <f t="shared" si="33"/>
        <v>0</v>
      </c>
      <c r="G147" s="35">
        <v>0</v>
      </c>
      <c r="H147" s="6">
        <f t="shared" si="28"/>
        <v>0</v>
      </c>
      <c r="I147" s="36" t="str">
        <f t="shared" si="34"/>
        <v/>
      </c>
      <c r="J147" s="37" t="s">
        <v>107</v>
      </c>
    </row>
    <row r="148" spans="1:10" ht="15" customHeight="1" x14ac:dyDescent="0.25">
      <c r="A148" s="34">
        <v>132</v>
      </c>
      <c r="B148" s="6">
        <f t="shared" si="29"/>
        <v>0</v>
      </c>
      <c r="C148" s="6">
        <f t="shared" si="30"/>
        <v>0</v>
      </c>
      <c r="D148" s="6">
        <f t="shared" si="31"/>
        <v>0</v>
      </c>
      <c r="E148" s="6">
        <f t="shared" si="32"/>
        <v>0</v>
      </c>
      <c r="F148" s="35">
        <f t="shared" si="33"/>
        <v>0</v>
      </c>
      <c r="G148" s="35">
        <v>0</v>
      </c>
      <c r="H148" s="6">
        <f t="shared" si="28"/>
        <v>0</v>
      </c>
      <c r="I148" s="36" t="str">
        <f t="shared" si="34"/>
        <v/>
      </c>
      <c r="J148" s="37" t="s">
        <v>107</v>
      </c>
    </row>
    <row r="149" spans="1:10" ht="15" customHeight="1" x14ac:dyDescent="0.25">
      <c r="A149" s="34">
        <v>133</v>
      </c>
      <c r="B149" s="6">
        <f t="shared" si="29"/>
        <v>0</v>
      </c>
      <c r="C149" s="6">
        <f t="shared" si="30"/>
        <v>0</v>
      </c>
      <c r="D149" s="6">
        <f t="shared" si="31"/>
        <v>0</v>
      </c>
      <c r="E149" s="6">
        <f t="shared" si="32"/>
        <v>0</v>
      </c>
      <c r="F149" s="35">
        <f t="shared" si="33"/>
        <v>0</v>
      </c>
      <c r="G149" s="35">
        <v>0</v>
      </c>
      <c r="H149" s="6">
        <f t="shared" si="28"/>
        <v>0</v>
      </c>
      <c r="I149" s="36" t="str">
        <f t="shared" si="34"/>
        <v/>
      </c>
      <c r="J149" s="37" t="s">
        <v>107</v>
      </c>
    </row>
    <row r="150" spans="1:10" ht="15" customHeight="1" x14ac:dyDescent="0.25">
      <c r="A150" s="34">
        <v>134</v>
      </c>
      <c r="B150" s="6">
        <f t="shared" si="29"/>
        <v>0</v>
      </c>
      <c r="C150" s="6">
        <f t="shared" si="30"/>
        <v>0</v>
      </c>
      <c r="D150" s="6">
        <f t="shared" si="31"/>
        <v>0</v>
      </c>
      <c r="E150" s="6">
        <f t="shared" si="32"/>
        <v>0</v>
      </c>
      <c r="F150" s="35">
        <f t="shared" si="33"/>
        <v>0</v>
      </c>
      <c r="G150" s="35">
        <v>0</v>
      </c>
      <c r="H150" s="6">
        <f t="shared" si="28"/>
        <v>0</v>
      </c>
      <c r="I150" s="36" t="str">
        <f t="shared" si="34"/>
        <v/>
      </c>
      <c r="J150" s="37" t="s">
        <v>107</v>
      </c>
    </row>
    <row r="151" spans="1:10" ht="15" customHeight="1" x14ac:dyDescent="0.25">
      <c r="A151" s="34">
        <v>135</v>
      </c>
      <c r="B151" s="6">
        <f t="shared" si="29"/>
        <v>0</v>
      </c>
      <c r="C151" s="6">
        <f t="shared" si="30"/>
        <v>0</v>
      </c>
      <c r="D151" s="6">
        <f t="shared" si="31"/>
        <v>0</v>
      </c>
      <c r="E151" s="6">
        <f t="shared" si="32"/>
        <v>0</v>
      </c>
      <c r="F151" s="35">
        <f t="shared" si="33"/>
        <v>0</v>
      </c>
      <c r="G151" s="35">
        <v>0</v>
      </c>
      <c r="H151" s="6">
        <f t="shared" si="28"/>
        <v>0</v>
      </c>
      <c r="I151" s="36" t="str">
        <f t="shared" si="34"/>
        <v/>
      </c>
      <c r="J151" s="37" t="s">
        <v>107</v>
      </c>
    </row>
    <row r="152" spans="1:10" ht="15" customHeight="1" x14ac:dyDescent="0.25">
      <c r="A152" s="34">
        <v>136</v>
      </c>
      <c r="B152" s="6">
        <f t="shared" si="29"/>
        <v>0</v>
      </c>
      <c r="C152" s="6">
        <f t="shared" si="30"/>
        <v>0</v>
      </c>
      <c r="D152" s="6">
        <f t="shared" si="31"/>
        <v>0</v>
      </c>
      <c r="E152" s="6">
        <f t="shared" si="32"/>
        <v>0</v>
      </c>
      <c r="F152" s="35">
        <f t="shared" si="33"/>
        <v>0</v>
      </c>
      <c r="G152" s="35">
        <v>0</v>
      </c>
      <c r="H152" s="6">
        <f t="shared" si="28"/>
        <v>0</v>
      </c>
      <c r="I152" s="36" t="str">
        <f t="shared" si="34"/>
        <v/>
      </c>
      <c r="J152" s="37" t="s">
        <v>107</v>
      </c>
    </row>
    <row r="153" spans="1:10" ht="15" customHeight="1" x14ac:dyDescent="0.25">
      <c r="A153" s="34">
        <v>137</v>
      </c>
      <c r="B153" s="6">
        <f t="shared" si="29"/>
        <v>0</v>
      </c>
      <c r="C153" s="6">
        <f t="shared" si="30"/>
        <v>0</v>
      </c>
      <c r="D153" s="6">
        <f t="shared" si="31"/>
        <v>0</v>
      </c>
      <c r="E153" s="6">
        <f t="shared" si="32"/>
        <v>0</v>
      </c>
      <c r="F153" s="35">
        <f t="shared" si="33"/>
        <v>0</v>
      </c>
      <c r="G153" s="35">
        <v>0</v>
      </c>
      <c r="H153" s="6">
        <f t="shared" si="28"/>
        <v>0</v>
      </c>
      <c r="I153" s="36" t="str">
        <f t="shared" si="34"/>
        <v/>
      </c>
      <c r="J153" s="37" t="s">
        <v>107</v>
      </c>
    </row>
    <row r="154" spans="1:10" ht="15" customHeight="1" x14ac:dyDescent="0.25">
      <c r="A154" s="34">
        <v>138</v>
      </c>
      <c r="B154" s="6">
        <f t="shared" si="29"/>
        <v>0</v>
      </c>
      <c r="C154" s="6">
        <f t="shared" si="30"/>
        <v>0</v>
      </c>
      <c r="D154" s="6">
        <f t="shared" si="31"/>
        <v>0</v>
      </c>
      <c r="E154" s="6">
        <f t="shared" si="32"/>
        <v>0</v>
      </c>
      <c r="F154" s="35">
        <f t="shared" si="33"/>
        <v>0</v>
      </c>
      <c r="G154" s="35">
        <v>0</v>
      </c>
      <c r="H154" s="6">
        <f t="shared" si="28"/>
        <v>0</v>
      </c>
      <c r="I154" s="36" t="str">
        <f t="shared" si="34"/>
        <v/>
      </c>
      <c r="J154" s="37" t="s">
        <v>107</v>
      </c>
    </row>
    <row r="155" spans="1:10" ht="15" customHeight="1" x14ac:dyDescent="0.25">
      <c r="A155" s="34">
        <v>139</v>
      </c>
      <c r="B155" s="6">
        <f t="shared" si="29"/>
        <v>0</v>
      </c>
      <c r="C155" s="6">
        <f t="shared" si="30"/>
        <v>0</v>
      </c>
      <c r="D155" s="6">
        <f t="shared" si="31"/>
        <v>0</v>
      </c>
      <c r="E155" s="6">
        <f t="shared" si="32"/>
        <v>0</v>
      </c>
      <c r="F155" s="35">
        <f t="shared" si="33"/>
        <v>0</v>
      </c>
      <c r="G155" s="35">
        <v>0</v>
      </c>
      <c r="H155" s="6">
        <f t="shared" si="28"/>
        <v>0</v>
      </c>
      <c r="I155" s="36" t="str">
        <f t="shared" si="34"/>
        <v/>
      </c>
      <c r="J155" s="37" t="s">
        <v>107</v>
      </c>
    </row>
    <row r="156" spans="1:10" ht="15" customHeight="1" x14ac:dyDescent="0.25">
      <c r="A156" s="34">
        <v>140</v>
      </c>
      <c r="B156" s="6">
        <f t="shared" si="29"/>
        <v>0</v>
      </c>
      <c r="C156" s="6">
        <f t="shared" si="30"/>
        <v>0</v>
      </c>
      <c r="D156" s="6">
        <f t="shared" si="31"/>
        <v>0</v>
      </c>
      <c r="E156" s="6">
        <f t="shared" si="32"/>
        <v>0</v>
      </c>
      <c r="F156" s="35">
        <f t="shared" si="33"/>
        <v>0</v>
      </c>
      <c r="G156" s="35">
        <v>0</v>
      </c>
      <c r="H156" s="6">
        <f t="shared" si="28"/>
        <v>0</v>
      </c>
      <c r="I156" s="36" t="str">
        <f t="shared" si="34"/>
        <v/>
      </c>
      <c r="J156" s="37" t="s">
        <v>107</v>
      </c>
    </row>
    <row r="157" spans="1:10" ht="15" customHeight="1" x14ac:dyDescent="0.25">
      <c r="A157" s="34">
        <v>141</v>
      </c>
      <c r="B157" s="6">
        <f t="shared" si="29"/>
        <v>0</v>
      </c>
      <c r="C157" s="6">
        <f t="shared" si="30"/>
        <v>0</v>
      </c>
      <c r="D157" s="6">
        <f t="shared" si="31"/>
        <v>0</v>
      </c>
      <c r="E157" s="6">
        <f t="shared" si="32"/>
        <v>0</v>
      </c>
      <c r="F157" s="35">
        <f t="shared" si="33"/>
        <v>0</v>
      </c>
      <c r="G157" s="35">
        <v>0</v>
      </c>
      <c r="H157" s="6">
        <f t="shared" si="28"/>
        <v>0</v>
      </c>
      <c r="I157" s="36" t="str">
        <f t="shared" si="34"/>
        <v/>
      </c>
      <c r="J157" s="37" t="s">
        <v>107</v>
      </c>
    </row>
    <row r="158" spans="1:10" ht="15" customHeight="1" x14ac:dyDescent="0.25">
      <c r="A158" s="34">
        <v>142</v>
      </c>
      <c r="B158" s="6">
        <f t="shared" si="29"/>
        <v>0</v>
      </c>
      <c r="C158" s="6">
        <f t="shared" si="30"/>
        <v>0</v>
      </c>
      <c r="D158" s="6">
        <f t="shared" si="31"/>
        <v>0</v>
      </c>
      <c r="E158" s="6">
        <f t="shared" si="32"/>
        <v>0</v>
      </c>
      <c r="F158" s="35">
        <f t="shared" si="33"/>
        <v>0</v>
      </c>
      <c r="G158" s="35">
        <v>0</v>
      </c>
      <c r="H158" s="6">
        <f t="shared" si="28"/>
        <v>0</v>
      </c>
      <c r="I158" s="36" t="str">
        <f t="shared" si="34"/>
        <v/>
      </c>
      <c r="J158" s="37" t="s">
        <v>107</v>
      </c>
    </row>
    <row r="159" spans="1:10" ht="15" customHeight="1" x14ac:dyDescent="0.25">
      <c r="A159" s="34">
        <v>143</v>
      </c>
      <c r="B159" s="6">
        <f t="shared" si="29"/>
        <v>0</v>
      </c>
      <c r="C159" s="6">
        <f t="shared" si="30"/>
        <v>0</v>
      </c>
      <c r="D159" s="6">
        <f t="shared" si="31"/>
        <v>0</v>
      </c>
      <c r="E159" s="6">
        <f t="shared" si="32"/>
        <v>0</v>
      </c>
      <c r="F159" s="35">
        <f t="shared" si="33"/>
        <v>0</v>
      </c>
      <c r="G159" s="35">
        <v>0</v>
      </c>
      <c r="H159" s="6">
        <f t="shared" si="28"/>
        <v>0</v>
      </c>
      <c r="I159" s="36" t="str">
        <f t="shared" si="34"/>
        <v/>
      </c>
      <c r="J159" s="37" t="s">
        <v>107</v>
      </c>
    </row>
    <row r="160" spans="1:10" ht="15" customHeight="1" x14ac:dyDescent="0.25">
      <c r="A160" s="34">
        <v>144</v>
      </c>
      <c r="B160" s="6">
        <f t="shared" si="29"/>
        <v>0</v>
      </c>
      <c r="C160" s="6">
        <f t="shared" si="30"/>
        <v>0</v>
      </c>
      <c r="D160" s="6">
        <f t="shared" si="31"/>
        <v>0</v>
      </c>
      <c r="E160" s="6">
        <f t="shared" si="32"/>
        <v>0</v>
      </c>
      <c r="F160" s="35">
        <f t="shared" si="33"/>
        <v>0</v>
      </c>
      <c r="G160" s="35">
        <v>0</v>
      </c>
      <c r="H160" s="6">
        <f t="shared" si="28"/>
        <v>0</v>
      </c>
      <c r="I160" s="36" t="str">
        <f t="shared" si="34"/>
        <v/>
      </c>
      <c r="J160" s="37" t="s">
        <v>107</v>
      </c>
    </row>
    <row r="161" spans="1:10" ht="15" customHeight="1" x14ac:dyDescent="0.25">
      <c r="A161" s="34">
        <v>145</v>
      </c>
      <c r="B161" s="6">
        <f t="shared" si="29"/>
        <v>0</v>
      </c>
      <c r="C161" s="6">
        <f t="shared" si="30"/>
        <v>0</v>
      </c>
      <c r="D161" s="6">
        <f t="shared" si="31"/>
        <v>0</v>
      </c>
      <c r="E161" s="6">
        <f t="shared" si="32"/>
        <v>0</v>
      </c>
      <c r="F161" s="35">
        <f t="shared" si="33"/>
        <v>0</v>
      </c>
      <c r="G161" s="35">
        <v>0</v>
      </c>
      <c r="H161" s="6">
        <f t="shared" si="28"/>
        <v>0</v>
      </c>
      <c r="I161" s="36" t="str">
        <f t="shared" si="34"/>
        <v/>
      </c>
      <c r="J161" s="37" t="s">
        <v>107</v>
      </c>
    </row>
    <row r="162" spans="1:10" ht="15" customHeight="1" x14ac:dyDescent="0.25">
      <c r="A162" s="34">
        <v>146</v>
      </c>
      <c r="B162" s="6">
        <f t="shared" si="29"/>
        <v>0</v>
      </c>
      <c r="C162" s="6">
        <f t="shared" si="30"/>
        <v>0</v>
      </c>
      <c r="D162" s="6">
        <f t="shared" si="31"/>
        <v>0</v>
      </c>
      <c r="E162" s="6">
        <f t="shared" si="32"/>
        <v>0</v>
      </c>
      <c r="F162" s="35">
        <f t="shared" si="33"/>
        <v>0</v>
      </c>
      <c r="G162" s="35">
        <v>0</v>
      </c>
      <c r="H162" s="6">
        <f t="shared" si="28"/>
        <v>0</v>
      </c>
      <c r="I162" s="36" t="str">
        <f t="shared" si="34"/>
        <v/>
      </c>
      <c r="J162" s="37" t="s">
        <v>107</v>
      </c>
    </row>
    <row r="163" spans="1:10" ht="15" customHeight="1" x14ac:dyDescent="0.25">
      <c r="A163" s="34">
        <v>147</v>
      </c>
      <c r="B163" s="6">
        <f t="shared" si="29"/>
        <v>0</v>
      </c>
      <c r="C163" s="6">
        <f t="shared" si="30"/>
        <v>0</v>
      </c>
      <c r="D163" s="6">
        <f t="shared" si="31"/>
        <v>0</v>
      </c>
      <c r="E163" s="6">
        <f t="shared" si="32"/>
        <v>0</v>
      </c>
      <c r="F163" s="35">
        <f t="shared" si="33"/>
        <v>0</v>
      </c>
      <c r="G163" s="35">
        <v>0</v>
      </c>
      <c r="H163" s="6">
        <f t="shared" si="28"/>
        <v>0</v>
      </c>
      <c r="I163" s="36" t="str">
        <f t="shared" si="34"/>
        <v/>
      </c>
      <c r="J163" s="37" t="s">
        <v>107</v>
      </c>
    </row>
    <row r="164" spans="1:10" ht="15" customHeight="1" x14ac:dyDescent="0.25">
      <c r="A164" s="34">
        <v>148</v>
      </c>
      <c r="B164" s="6">
        <f t="shared" si="29"/>
        <v>0</v>
      </c>
      <c r="C164" s="6">
        <f t="shared" si="30"/>
        <v>0</v>
      </c>
      <c r="D164" s="6">
        <f t="shared" si="31"/>
        <v>0</v>
      </c>
      <c r="E164" s="6">
        <f t="shared" si="32"/>
        <v>0</v>
      </c>
      <c r="F164" s="35">
        <f t="shared" si="33"/>
        <v>0</v>
      </c>
      <c r="G164" s="35">
        <v>0</v>
      </c>
      <c r="H164" s="6">
        <f t="shared" si="28"/>
        <v>0</v>
      </c>
      <c r="I164" s="36" t="str">
        <f t="shared" si="34"/>
        <v/>
      </c>
      <c r="J164" s="37" t="s">
        <v>107</v>
      </c>
    </row>
    <row r="165" spans="1:10" ht="15" customHeight="1" x14ac:dyDescent="0.25">
      <c r="A165" s="34">
        <v>149</v>
      </c>
      <c r="B165" s="6">
        <f t="shared" si="29"/>
        <v>0</v>
      </c>
      <c r="C165" s="6">
        <f t="shared" si="30"/>
        <v>0</v>
      </c>
      <c r="D165" s="6">
        <f t="shared" si="31"/>
        <v>0</v>
      </c>
      <c r="E165" s="6">
        <f t="shared" si="32"/>
        <v>0</v>
      </c>
      <c r="F165" s="35">
        <f t="shared" si="33"/>
        <v>0</v>
      </c>
      <c r="G165" s="35">
        <v>0</v>
      </c>
      <c r="H165" s="6">
        <f t="shared" si="28"/>
        <v>0</v>
      </c>
      <c r="I165" s="36" t="str">
        <f t="shared" si="34"/>
        <v/>
      </c>
      <c r="J165" s="37" t="s">
        <v>107</v>
      </c>
    </row>
    <row r="166" spans="1:10" ht="15" customHeight="1" x14ac:dyDescent="0.25">
      <c r="A166" s="34">
        <v>150</v>
      </c>
      <c r="B166" s="6">
        <f t="shared" si="29"/>
        <v>0</v>
      </c>
      <c r="C166" s="6">
        <f t="shared" si="30"/>
        <v>0</v>
      </c>
      <c r="D166" s="6">
        <f t="shared" si="31"/>
        <v>0</v>
      </c>
      <c r="E166" s="6">
        <f t="shared" si="32"/>
        <v>0</v>
      </c>
      <c r="F166" s="35">
        <f t="shared" si="33"/>
        <v>0</v>
      </c>
      <c r="G166" s="35">
        <v>0</v>
      </c>
      <c r="H166" s="6">
        <f t="shared" si="28"/>
        <v>0</v>
      </c>
      <c r="I166" s="36" t="str">
        <f t="shared" si="34"/>
        <v/>
      </c>
      <c r="J166" s="37" t="s">
        <v>107</v>
      </c>
    </row>
    <row r="167" spans="1:10" ht="15" customHeight="1" x14ac:dyDescent="0.25">
      <c r="A167" s="34">
        <v>151</v>
      </c>
      <c r="B167" s="6">
        <f t="shared" si="29"/>
        <v>0</v>
      </c>
      <c r="C167" s="6">
        <f t="shared" si="30"/>
        <v>0</v>
      </c>
      <c r="D167" s="6">
        <f t="shared" si="31"/>
        <v>0</v>
      </c>
      <c r="E167" s="6">
        <f t="shared" si="32"/>
        <v>0</v>
      </c>
      <c r="F167" s="35">
        <f t="shared" si="33"/>
        <v>0</v>
      </c>
      <c r="G167" s="35">
        <v>0</v>
      </c>
      <c r="H167" s="6">
        <f t="shared" si="28"/>
        <v>0</v>
      </c>
      <c r="I167" s="36" t="str">
        <f t="shared" si="34"/>
        <v/>
      </c>
      <c r="J167" s="37" t="s">
        <v>107</v>
      </c>
    </row>
    <row r="168" spans="1:10" ht="15" customHeight="1" x14ac:dyDescent="0.25">
      <c r="A168" s="34">
        <v>152</v>
      </c>
      <c r="B168" s="6">
        <f t="shared" si="29"/>
        <v>0</v>
      </c>
      <c r="C168" s="6">
        <f t="shared" si="30"/>
        <v>0</v>
      </c>
      <c r="D168" s="6">
        <f t="shared" si="31"/>
        <v>0</v>
      </c>
      <c r="E168" s="6">
        <f t="shared" si="32"/>
        <v>0</v>
      </c>
      <c r="F168" s="35">
        <f t="shared" si="33"/>
        <v>0</v>
      </c>
      <c r="G168" s="35">
        <v>0</v>
      </c>
      <c r="H168" s="6">
        <f t="shared" si="28"/>
        <v>0</v>
      </c>
      <c r="I168" s="36" t="str">
        <f t="shared" si="34"/>
        <v/>
      </c>
      <c r="J168" s="37" t="s">
        <v>107</v>
      </c>
    </row>
    <row r="169" spans="1:10" ht="15" customHeight="1" x14ac:dyDescent="0.25">
      <c r="A169" s="34">
        <v>153</v>
      </c>
      <c r="B169" s="6">
        <f t="shared" si="29"/>
        <v>0</v>
      </c>
      <c r="C169" s="6">
        <f t="shared" si="30"/>
        <v>0</v>
      </c>
      <c r="D169" s="6">
        <f t="shared" si="31"/>
        <v>0</v>
      </c>
      <c r="E169" s="6">
        <f t="shared" si="32"/>
        <v>0</v>
      </c>
      <c r="F169" s="35">
        <f t="shared" si="33"/>
        <v>0</v>
      </c>
      <c r="G169" s="35">
        <v>0</v>
      </c>
      <c r="H169" s="6">
        <f t="shared" si="28"/>
        <v>0</v>
      </c>
      <c r="I169" s="36" t="str">
        <f t="shared" si="34"/>
        <v/>
      </c>
      <c r="J169" s="37" t="s">
        <v>107</v>
      </c>
    </row>
    <row r="170" spans="1:10" ht="15" customHeight="1" x14ac:dyDescent="0.25">
      <c r="A170" s="34">
        <v>154</v>
      </c>
      <c r="B170" s="6">
        <f t="shared" si="29"/>
        <v>0</v>
      </c>
      <c r="C170" s="6">
        <f t="shared" si="30"/>
        <v>0</v>
      </c>
      <c r="D170" s="6">
        <f t="shared" si="31"/>
        <v>0</v>
      </c>
      <c r="E170" s="6">
        <f t="shared" si="32"/>
        <v>0</v>
      </c>
      <c r="F170" s="35">
        <f t="shared" si="33"/>
        <v>0</v>
      </c>
      <c r="G170" s="35">
        <v>0</v>
      </c>
      <c r="H170" s="6">
        <f t="shared" si="28"/>
        <v>0</v>
      </c>
      <c r="I170" s="36" t="str">
        <f t="shared" si="34"/>
        <v/>
      </c>
      <c r="J170" s="37" t="s">
        <v>107</v>
      </c>
    </row>
    <row r="171" spans="1:10" ht="15" customHeight="1" x14ac:dyDescent="0.25">
      <c r="A171" s="34">
        <v>155</v>
      </c>
      <c r="B171" s="6">
        <f t="shared" si="29"/>
        <v>0</v>
      </c>
      <c r="C171" s="6">
        <f t="shared" si="30"/>
        <v>0</v>
      </c>
      <c r="D171" s="6">
        <f t="shared" si="31"/>
        <v>0</v>
      </c>
      <c r="E171" s="6">
        <f t="shared" si="32"/>
        <v>0</v>
      </c>
      <c r="F171" s="35">
        <f t="shared" si="33"/>
        <v>0</v>
      </c>
      <c r="G171" s="35">
        <v>0</v>
      </c>
      <c r="H171" s="6">
        <f t="shared" si="28"/>
        <v>0</v>
      </c>
      <c r="I171" s="36" t="str">
        <f t="shared" si="34"/>
        <v/>
      </c>
      <c r="J171" s="37" t="s">
        <v>107</v>
      </c>
    </row>
    <row r="172" spans="1:10" ht="15" customHeight="1" x14ac:dyDescent="0.25">
      <c r="A172" s="34">
        <v>156</v>
      </c>
      <c r="B172" s="6">
        <f t="shared" si="29"/>
        <v>0</v>
      </c>
      <c r="C172" s="6">
        <f t="shared" si="30"/>
        <v>0</v>
      </c>
      <c r="D172" s="6">
        <f t="shared" si="31"/>
        <v>0</v>
      </c>
      <c r="E172" s="6">
        <f t="shared" si="32"/>
        <v>0</v>
      </c>
      <c r="F172" s="35">
        <f t="shared" si="33"/>
        <v>0</v>
      </c>
      <c r="G172" s="35">
        <v>0</v>
      </c>
      <c r="H172" s="6">
        <f t="shared" si="28"/>
        <v>0</v>
      </c>
      <c r="I172" s="36" t="str">
        <f t="shared" si="34"/>
        <v/>
      </c>
      <c r="J172" s="37" t="s">
        <v>107</v>
      </c>
    </row>
    <row r="173" spans="1:10" ht="15" customHeight="1" x14ac:dyDescent="0.25">
      <c r="A173" s="34">
        <v>157</v>
      </c>
      <c r="B173" s="6">
        <f t="shared" si="29"/>
        <v>0</v>
      </c>
      <c r="C173" s="6">
        <f t="shared" si="30"/>
        <v>0</v>
      </c>
      <c r="D173" s="6">
        <f t="shared" si="31"/>
        <v>0</v>
      </c>
      <c r="E173" s="6">
        <f t="shared" si="32"/>
        <v>0</v>
      </c>
      <c r="F173" s="35">
        <f t="shared" si="33"/>
        <v>0</v>
      </c>
      <c r="G173" s="35">
        <v>0</v>
      </c>
      <c r="H173" s="6">
        <f t="shared" si="28"/>
        <v>0</v>
      </c>
      <c r="I173" s="36" t="str">
        <f t="shared" si="34"/>
        <v/>
      </c>
      <c r="J173" s="37" t="s">
        <v>107</v>
      </c>
    </row>
    <row r="174" spans="1:10" ht="15" customHeight="1" x14ac:dyDescent="0.25">
      <c r="A174" s="34">
        <v>158</v>
      </c>
      <c r="B174" s="6">
        <f t="shared" si="29"/>
        <v>0</v>
      </c>
      <c r="C174" s="6">
        <f t="shared" si="30"/>
        <v>0</v>
      </c>
      <c r="D174" s="6">
        <f t="shared" si="31"/>
        <v>0</v>
      </c>
      <c r="E174" s="6">
        <f t="shared" si="32"/>
        <v>0</v>
      </c>
      <c r="F174" s="35">
        <f t="shared" si="33"/>
        <v>0</v>
      </c>
      <c r="G174" s="35">
        <v>0</v>
      </c>
      <c r="H174" s="6">
        <f t="shared" si="28"/>
        <v>0</v>
      </c>
      <c r="I174" s="36" t="str">
        <f t="shared" si="34"/>
        <v/>
      </c>
      <c r="J174" s="37" t="s">
        <v>107</v>
      </c>
    </row>
    <row r="175" spans="1:10" ht="15" customHeight="1" x14ac:dyDescent="0.25">
      <c r="A175" s="34">
        <v>159</v>
      </c>
      <c r="B175" s="6">
        <f t="shared" si="29"/>
        <v>0</v>
      </c>
      <c r="C175" s="6">
        <f t="shared" si="30"/>
        <v>0</v>
      </c>
      <c r="D175" s="6">
        <f t="shared" si="31"/>
        <v>0</v>
      </c>
      <c r="E175" s="6">
        <f t="shared" si="32"/>
        <v>0</v>
      </c>
      <c r="F175" s="35">
        <f t="shared" si="33"/>
        <v>0</v>
      </c>
      <c r="G175" s="35">
        <v>0</v>
      </c>
      <c r="H175" s="6">
        <f t="shared" si="28"/>
        <v>0</v>
      </c>
      <c r="I175" s="36" t="str">
        <f t="shared" si="34"/>
        <v/>
      </c>
      <c r="J175" s="37" t="s">
        <v>107</v>
      </c>
    </row>
    <row r="176" spans="1:10" ht="15" customHeight="1" x14ac:dyDescent="0.25">
      <c r="A176" s="34">
        <v>160</v>
      </c>
      <c r="B176" s="6">
        <f t="shared" si="29"/>
        <v>0</v>
      </c>
      <c r="C176" s="6">
        <f t="shared" si="30"/>
        <v>0</v>
      </c>
      <c r="D176" s="6">
        <f t="shared" si="31"/>
        <v>0</v>
      </c>
      <c r="E176" s="6">
        <f t="shared" si="32"/>
        <v>0</v>
      </c>
      <c r="F176" s="35">
        <f t="shared" si="33"/>
        <v>0</v>
      </c>
      <c r="G176" s="35">
        <v>0</v>
      </c>
      <c r="H176" s="6">
        <f t="shared" si="28"/>
        <v>0</v>
      </c>
      <c r="I176" s="36" t="str">
        <f t="shared" si="34"/>
        <v/>
      </c>
      <c r="J176" s="37" t="s">
        <v>107</v>
      </c>
    </row>
    <row r="177" spans="1:10" ht="15" customHeight="1" x14ac:dyDescent="0.25">
      <c r="A177" s="34">
        <v>161</v>
      </c>
      <c r="B177" s="6">
        <f t="shared" si="29"/>
        <v>0</v>
      </c>
      <c r="C177" s="6">
        <f t="shared" si="30"/>
        <v>0</v>
      </c>
      <c r="D177" s="6">
        <f t="shared" si="31"/>
        <v>0</v>
      </c>
      <c r="E177" s="6">
        <f t="shared" si="32"/>
        <v>0</v>
      </c>
      <c r="F177" s="35">
        <f t="shared" si="33"/>
        <v>0</v>
      </c>
      <c r="G177" s="35">
        <v>0</v>
      </c>
      <c r="H177" s="6">
        <f t="shared" ref="H177:H208" si="35">IF(B177&gt;0,B177+F177,0)</f>
        <v>0</v>
      </c>
      <c r="I177" s="36" t="str">
        <f t="shared" si="34"/>
        <v/>
      </c>
      <c r="J177" s="37" t="s">
        <v>107</v>
      </c>
    </row>
    <row r="178" spans="1:10" ht="15" customHeight="1" x14ac:dyDescent="0.25">
      <c r="A178" s="34">
        <v>162</v>
      </c>
      <c r="B178" s="6">
        <f t="shared" ref="B178:B209" si="36">IF(E177&gt;0,MIN($E$5+G178+$H$11,E177+C178),0)</f>
        <v>0</v>
      </c>
      <c r="C178" s="6">
        <f t="shared" ref="C178:C209" si="37">IF(E177&gt;0,ROUND(E177*$E$4,2),0)</f>
        <v>0</v>
      </c>
      <c r="D178" s="6">
        <f t="shared" ref="D178:D209" si="38">IF(E177&gt;0,B178-C178,0)</f>
        <v>0</v>
      </c>
      <c r="E178" s="6">
        <f t="shared" ref="E178:E209" si="39">IF(E177&gt;0,MAX(E177-D178,0),0)</f>
        <v>0</v>
      </c>
      <c r="F178" s="35">
        <f t="shared" ref="F178:F209" si="40">IF(E177&gt;0,$H$5,0)</f>
        <v>0</v>
      </c>
      <c r="G178" s="35">
        <v>0</v>
      </c>
      <c r="H178" s="6">
        <f t="shared" si="35"/>
        <v>0</v>
      </c>
      <c r="I178" s="36" t="str">
        <f t="shared" ref="I178:I209" si="41">IF(E178&gt;0,EDATE($B$8,A178-1),"")</f>
        <v/>
      </c>
      <c r="J178" s="37" t="s">
        <v>107</v>
      </c>
    </row>
    <row r="179" spans="1:10" ht="15" customHeight="1" x14ac:dyDescent="0.25">
      <c r="A179" s="34">
        <v>163</v>
      </c>
      <c r="B179" s="6">
        <f t="shared" si="36"/>
        <v>0</v>
      </c>
      <c r="C179" s="6">
        <f t="shared" si="37"/>
        <v>0</v>
      </c>
      <c r="D179" s="6">
        <f t="shared" si="38"/>
        <v>0</v>
      </c>
      <c r="E179" s="6">
        <f t="shared" si="39"/>
        <v>0</v>
      </c>
      <c r="F179" s="35">
        <f t="shared" si="40"/>
        <v>0</v>
      </c>
      <c r="G179" s="35">
        <v>0</v>
      </c>
      <c r="H179" s="6">
        <f t="shared" si="35"/>
        <v>0</v>
      </c>
      <c r="I179" s="36" t="str">
        <f t="shared" si="41"/>
        <v/>
      </c>
      <c r="J179" s="37" t="s">
        <v>107</v>
      </c>
    </row>
    <row r="180" spans="1:10" ht="15" customHeight="1" x14ac:dyDescent="0.25">
      <c r="A180" s="34">
        <v>164</v>
      </c>
      <c r="B180" s="6">
        <f t="shared" si="36"/>
        <v>0</v>
      </c>
      <c r="C180" s="6">
        <f t="shared" si="37"/>
        <v>0</v>
      </c>
      <c r="D180" s="6">
        <f t="shared" si="38"/>
        <v>0</v>
      </c>
      <c r="E180" s="6">
        <f t="shared" si="39"/>
        <v>0</v>
      </c>
      <c r="F180" s="35">
        <f t="shared" si="40"/>
        <v>0</v>
      </c>
      <c r="G180" s="35">
        <v>0</v>
      </c>
      <c r="H180" s="6">
        <f t="shared" si="35"/>
        <v>0</v>
      </c>
      <c r="I180" s="36" t="str">
        <f t="shared" si="41"/>
        <v/>
      </c>
      <c r="J180" s="37" t="s">
        <v>107</v>
      </c>
    </row>
    <row r="181" spans="1:10" ht="15" customHeight="1" x14ac:dyDescent="0.25">
      <c r="A181" s="34">
        <v>165</v>
      </c>
      <c r="B181" s="6">
        <f t="shared" si="36"/>
        <v>0</v>
      </c>
      <c r="C181" s="6">
        <f t="shared" si="37"/>
        <v>0</v>
      </c>
      <c r="D181" s="6">
        <f t="shared" si="38"/>
        <v>0</v>
      </c>
      <c r="E181" s="6">
        <f t="shared" si="39"/>
        <v>0</v>
      </c>
      <c r="F181" s="35">
        <f t="shared" si="40"/>
        <v>0</v>
      </c>
      <c r="G181" s="35">
        <v>0</v>
      </c>
      <c r="H181" s="6">
        <f t="shared" si="35"/>
        <v>0</v>
      </c>
      <c r="I181" s="36" t="str">
        <f t="shared" si="41"/>
        <v/>
      </c>
      <c r="J181" s="37" t="s">
        <v>107</v>
      </c>
    </row>
    <row r="182" spans="1:10" ht="15" customHeight="1" x14ac:dyDescent="0.25">
      <c r="A182" s="34">
        <v>166</v>
      </c>
      <c r="B182" s="6">
        <f t="shared" si="36"/>
        <v>0</v>
      </c>
      <c r="C182" s="6">
        <f t="shared" si="37"/>
        <v>0</v>
      </c>
      <c r="D182" s="6">
        <f t="shared" si="38"/>
        <v>0</v>
      </c>
      <c r="E182" s="6">
        <f t="shared" si="39"/>
        <v>0</v>
      </c>
      <c r="F182" s="35">
        <f t="shared" si="40"/>
        <v>0</v>
      </c>
      <c r="G182" s="35">
        <v>0</v>
      </c>
      <c r="H182" s="6">
        <f t="shared" si="35"/>
        <v>0</v>
      </c>
      <c r="I182" s="36" t="str">
        <f t="shared" si="41"/>
        <v/>
      </c>
      <c r="J182" s="37" t="s">
        <v>107</v>
      </c>
    </row>
    <row r="183" spans="1:10" ht="15" customHeight="1" x14ac:dyDescent="0.25">
      <c r="A183" s="34">
        <v>167</v>
      </c>
      <c r="B183" s="6">
        <f t="shared" si="36"/>
        <v>0</v>
      </c>
      <c r="C183" s="6">
        <f t="shared" si="37"/>
        <v>0</v>
      </c>
      <c r="D183" s="6">
        <f t="shared" si="38"/>
        <v>0</v>
      </c>
      <c r="E183" s="6">
        <f t="shared" si="39"/>
        <v>0</v>
      </c>
      <c r="F183" s="35">
        <f t="shared" si="40"/>
        <v>0</v>
      </c>
      <c r="G183" s="35">
        <v>0</v>
      </c>
      <c r="H183" s="6">
        <f t="shared" si="35"/>
        <v>0</v>
      </c>
      <c r="I183" s="36" t="str">
        <f t="shared" si="41"/>
        <v/>
      </c>
      <c r="J183" s="37" t="s">
        <v>107</v>
      </c>
    </row>
    <row r="184" spans="1:10" ht="15" customHeight="1" x14ac:dyDescent="0.25">
      <c r="A184" s="34">
        <v>168</v>
      </c>
      <c r="B184" s="6">
        <f t="shared" si="36"/>
        <v>0</v>
      </c>
      <c r="C184" s="6">
        <f t="shared" si="37"/>
        <v>0</v>
      </c>
      <c r="D184" s="6">
        <f t="shared" si="38"/>
        <v>0</v>
      </c>
      <c r="E184" s="6">
        <f t="shared" si="39"/>
        <v>0</v>
      </c>
      <c r="F184" s="35">
        <f t="shared" si="40"/>
        <v>0</v>
      </c>
      <c r="G184" s="35">
        <v>0</v>
      </c>
      <c r="H184" s="6">
        <f t="shared" si="35"/>
        <v>0</v>
      </c>
      <c r="I184" s="36" t="str">
        <f t="shared" si="41"/>
        <v/>
      </c>
      <c r="J184" s="37" t="s">
        <v>107</v>
      </c>
    </row>
    <row r="185" spans="1:10" ht="15" customHeight="1" x14ac:dyDescent="0.25">
      <c r="A185" s="34">
        <v>169</v>
      </c>
      <c r="B185" s="6">
        <f t="shared" si="36"/>
        <v>0</v>
      </c>
      <c r="C185" s="6">
        <f t="shared" si="37"/>
        <v>0</v>
      </c>
      <c r="D185" s="6">
        <f t="shared" si="38"/>
        <v>0</v>
      </c>
      <c r="E185" s="6">
        <f t="shared" si="39"/>
        <v>0</v>
      </c>
      <c r="F185" s="35">
        <f t="shared" si="40"/>
        <v>0</v>
      </c>
      <c r="G185" s="35">
        <v>0</v>
      </c>
      <c r="H185" s="6">
        <f t="shared" si="35"/>
        <v>0</v>
      </c>
      <c r="I185" s="36" t="str">
        <f t="shared" si="41"/>
        <v/>
      </c>
      <c r="J185" s="37" t="s">
        <v>107</v>
      </c>
    </row>
    <row r="186" spans="1:10" ht="15" customHeight="1" x14ac:dyDescent="0.25">
      <c r="A186" s="34">
        <v>170</v>
      </c>
      <c r="B186" s="6">
        <f t="shared" si="36"/>
        <v>0</v>
      </c>
      <c r="C186" s="6">
        <f t="shared" si="37"/>
        <v>0</v>
      </c>
      <c r="D186" s="6">
        <f t="shared" si="38"/>
        <v>0</v>
      </c>
      <c r="E186" s="6">
        <f t="shared" si="39"/>
        <v>0</v>
      </c>
      <c r="F186" s="35">
        <f t="shared" si="40"/>
        <v>0</v>
      </c>
      <c r="G186" s="35">
        <v>0</v>
      </c>
      <c r="H186" s="6">
        <f t="shared" si="35"/>
        <v>0</v>
      </c>
      <c r="I186" s="36" t="str">
        <f t="shared" si="41"/>
        <v/>
      </c>
      <c r="J186" s="37" t="s">
        <v>107</v>
      </c>
    </row>
    <row r="187" spans="1:10" ht="15" customHeight="1" x14ac:dyDescent="0.25">
      <c r="A187" s="34">
        <v>171</v>
      </c>
      <c r="B187" s="6">
        <f t="shared" si="36"/>
        <v>0</v>
      </c>
      <c r="C187" s="6">
        <f t="shared" si="37"/>
        <v>0</v>
      </c>
      <c r="D187" s="6">
        <f t="shared" si="38"/>
        <v>0</v>
      </c>
      <c r="E187" s="6">
        <f t="shared" si="39"/>
        <v>0</v>
      </c>
      <c r="F187" s="35">
        <f t="shared" si="40"/>
        <v>0</v>
      </c>
      <c r="G187" s="35">
        <v>0</v>
      </c>
      <c r="H187" s="6">
        <f t="shared" si="35"/>
        <v>0</v>
      </c>
      <c r="I187" s="36" t="str">
        <f t="shared" si="41"/>
        <v/>
      </c>
      <c r="J187" s="37" t="s">
        <v>107</v>
      </c>
    </row>
    <row r="188" spans="1:10" ht="15" customHeight="1" x14ac:dyDescent="0.25">
      <c r="A188" s="34">
        <v>172</v>
      </c>
      <c r="B188" s="6">
        <f t="shared" si="36"/>
        <v>0</v>
      </c>
      <c r="C188" s="6">
        <f t="shared" si="37"/>
        <v>0</v>
      </c>
      <c r="D188" s="6">
        <f t="shared" si="38"/>
        <v>0</v>
      </c>
      <c r="E188" s="6">
        <f t="shared" si="39"/>
        <v>0</v>
      </c>
      <c r="F188" s="35">
        <f t="shared" si="40"/>
        <v>0</v>
      </c>
      <c r="G188" s="35">
        <v>0</v>
      </c>
      <c r="H188" s="6">
        <f t="shared" si="35"/>
        <v>0</v>
      </c>
      <c r="I188" s="36" t="str">
        <f t="shared" si="41"/>
        <v/>
      </c>
      <c r="J188" s="37" t="s">
        <v>107</v>
      </c>
    </row>
    <row r="189" spans="1:10" ht="15" customHeight="1" x14ac:dyDescent="0.25">
      <c r="A189" s="34">
        <v>173</v>
      </c>
      <c r="B189" s="6">
        <f t="shared" si="36"/>
        <v>0</v>
      </c>
      <c r="C189" s="6">
        <f t="shared" si="37"/>
        <v>0</v>
      </c>
      <c r="D189" s="6">
        <f t="shared" si="38"/>
        <v>0</v>
      </c>
      <c r="E189" s="6">
        <f t="shared" si="39"/>
        <v>0</v>
      </c>
      <c r="F189" s="35">
        <f t="shared" si="40"/>
        <v>0</v>
      </c>
      <c r="G189" s="35">
        <v>0</v>
      </c>
      <c r="H189" s="6">
        <f t="shared" si="35"/>
        <v>0</v>
      </c>
      <c r="I189" s="36" t="str">
        <f t="shared" si="41"/>
        <v/>
      </c>
      <c r="J189" s="37" t="s">
        <v>107</v>
      </c>
    </row>
    <row r="190" spans="1:10" ht="15" customHeight="1" x14ac:dyDescent="0.25">
      <c r="A190" s="34">
        <v>174</v>
      </c>
      <c r="B190" s="6">
        <f t="shared" si="36"/>
        <v>0</v>
      </c>
      <c r="C190" s="6">
        <f t="shared" si="37"/>
        <v>0</v>
      </c>
      <c r="D190" s="6">
        <f t="shared" si="38"/>
        <v>0</v>
      </c>
      <c r="E190" s="6">
        <f t="shared" si="39"/>
        <v>0</v>
      </c>
      <c r="F190" s="35">
        <f t="shared" si="40"/>
        <v>0</v>
      </c>
      <c r="G190" s="35">
        <v>0</v>
      </c>
      <c r="H190" s="6">
        <f t="shared" si="35"/>
        <v>0</v>
      </c>
      <c r="I190" s="36" t="str">
        <f t="shared" si="41"/>
        <v/>
      </c>
      <c r="J190" s="37" t="s">
        <v>107</v>
      </c>
    </row>
    <row r="191" spans="1:10" ht="15" customHeight="1" x14ac:dyDescent="0.25">
      <c r="A191" s="34">
        <v>175</v>
      </c>
      <c r="B191" s="6">
        <f t="shared" si="36"/>
        <v>0</v>
      </c>
      <c r="C191" s="6">
        <f t="shared" si="37"/>
        <v>0</v>
      </c>
      <c r="D191" s="6">
        <f t="shared" si="38"/>
        <v>0</v>
      </c>
      <c r="E191" s="6">
        <f t="shared" si="39"/>
        <v>0</v>
      </c>
      <c r="F191" s="35">
        <f t="shared" si="40"/>
        <v>0</v>
      </c>
      <c r="G191" s="35">
        <v>0</v>
      </c>
      <c r="H191" s="6">
        <f t="shared" si="35"/>
        <v>0</v>
      </c>
      <c r="I191" s="36" t="str">
        <f t="shared" si="41"/>
        <v/>
      </c>
      <c r="J191" s="37" t="s">
        <v>107</v>
      </c>
    </row>
    <row r="192" spans="1:10" ht="15" customHeight="1" x14ac:dyDescent="0.25">
      <c r="A192" s="34">
        <v>176</v>
      </c>
      <c r="B192" s="6">
        <f t="shared" si="36"/>
        <v>0</v>
      </c>
      <c r="C192" s="6">
        <f t="shared" si="37"/>
        <v>0</v>
      </c>
      <c r="D192" s="6">
        <f t="shared" si="38"/>
        <v>0</v>
      </c>
      <c r="E192" s="6">
        <f t="shared" si="39"/>
        <v>0</v>
      </c>
      <c r="F192" s="35">
        <f t="shared" si="40"/>
        <v>0</v>
      </c>
      <c r="G192" s="35">
        <v>0</v>
      </c>
      <c r="H192" s="6">
        <f t="shared" si="35"/>
        <v>0</v>
      </c>
      <c r="I192" s="36" t="str">
        <f t="shared" si="41"/>
        <v/>
      </c>
      <c r="J192" s="37" t="s">
        <v>107</v>
      </c>
    </row>
    <row r="193" spans="1:10" ht="15" customHeight="1" x14ac:dyDescent="0.25">
      <c r="A193" s="34">
        <v>177</v>
      </c>
      <c r="B193" s="6">
        <f t="shared" si="36"/>
        <v>0</v>
      </c>
      <c r="C193" s="6">
        <f t="shared" si="37"/>
        <v>0</v>
      </c>
      <c r="D193" s="6">
        <f t="shared" si="38"/>
        <v>0</v>
      </c>
      <c r="E193" s="6">
        <f t="shared" si="39"/>
        <v>0</v>
      </c>
      <c r="F193" s="35">
        <f t="shared" si="40"/>
        <v>0</v>
      </c>
      <c r="G193" s="35">
        <v>0</v>
      </c>
      <c r="H193" s="6">
        <f t="shared" si="35"/>
        <v>0</v>
      </c>
      <c r="I193" s="36" t="str">
        <f t="shared" si="41"/>
        <v/>
      </c>
      <c r="J193" s="37" t="s">
        <v>107</v>
      </c>
    </row>
    <row r="194" spans="1:10" ht="15" customHeight="1" x14ac:dyDescent="0.25">
      <c r="A194" s="34">
        <v>178</v>
      </c>
      <c r="B194" s="6">
        <f t="shared" si="36"/>
        <v>0</v>
      </c>
      <c r="C194" s="6">
        <f t="shared" si="37"/>
        <v>0</v>
      </c>
      <c r="D194" s="6">
        <f t="shared" si="38"/>
        <v>0</v>
      </c>
      <c r="E194" s="6">
        <f t="shared" si="39"/>
        <v>0</v>
      </c>
      <c r="F194" s="35">
        <f t="shared" si="40"/>
        <v>0</v>
      </c>
      <c r="G194" s="35">
        <v>0</v>
      </c>
      <c r="H194" s="6">
        <f t="shared" si="35"/>
        <v>0</v>
      </c>
      <c r="I194" s="36" t="str">
        <f t="shared" si="41"/>
        <v/>
      </c>
      <c r="J194" s="37" t="s">
        <v>107</v>
      </c>
    </row>
    <row r="195" spans="1:10" ht="15" customHeight="1" x14ac:dyDescent="0.25">
      <c r="A195" s="34">
        <v>179</v>
      </c>
      <c r="B195" s="6">
        <f t="shared" si="36"/>
        <v>0</v>
      </c>
      <c r="C195" s="6">
        <f t="shared" si="37"/>
        <v>0</v>
      </c>
      <c r="D195" s="6">
        <f t="shared" si="38"/>
        <v>0</v>
      </c>
      <c r="E195" s="6">
        <f t="shared" si="39"/>
        <v>0</v>
      </c>
      <c r="F195" s="35">
        <f t="shared" si="40"/>
        <v>0</v>
      </c>
      <c r="G195" s="35">
        <v>0</v>
      </c>
      <c r="H195" s="6">
        <f t="shared" si="35"/>
        <v>0</v>
      </c>
      <c r="I195" s="36" t="str">
        <f t="shared" si="41"/>
        <v/>
      </c>
      <c r="J195" s="37" t="s">
        <v>107</v>
      </c>
    </row>
    <row r="196" spans="1:10" ht="15" customHeight="1" x14ac:dyDescent="0.25">
      <c r="A196" s="34">
        <v>180</v>
      </c>
      <c r="B196" s="6">
        <f t="shared" si="36"/>
        <v>0</v>
      </c>
      <c r="C196" s="6">
        <f t="shared" si="37"/>
        <v>0</v>
      </c>
      <c r="D196" s="6">
        <f t="shared" si="38"/>
        <v>0</v>
      </c>
      <c r="E196" s="6">
        <f t="shared" si="39"/>
        <v>0</v>
      </c>
      <c r="F196" s="35">
        <f t="shared" si="40"/>
        <v>0</v>
      </c>
      <c r="G196" s="35">
        <v>0</v>
      </c>
      <c r="H196" s="6">
        <f t="shared" si="35"/>
        <v>0</v>
      </c>
      <c r="I196" s="36" t="str">
        <f t="shared" si="41"/>
        <v/>
      </c>
      <c r="J196" s="37" t="s">
        <v>107</v>
      </c>
    </row>
    <row r="197" spans="1:10" ht="15" customHeight="1" x14ac:dyDescent="0.25">
      <c r="A197" s="34">
        <v>181</v>
      </c>
      <c r="B197" s="6">
        <f t="shared" si="36"/>
        <v>0</v>
      </c>
      <c r="C197" s="6">
        <f t="shared" si="37"/>
        <v>0</v>
      </c>
      <c r="D197" s="6">
        <f t="shared" si="38"/>
        <v>0</v>
      </c>
      <c r="E197" s="6">
        <f t="shared" si="39"/>
        <v>0</v>
      </c>
      <c r="F197" s="35">
        <f t="shared" si="40"/>
        <v>0</v>
      </c>
      <c r="G197" s="35">
        <v>0</v>
      </c>
      <c r="H197" s="6">
        <f t="shared" si="35"/>
        <v>0</v>
      </c>
      <c r="I197" s="36" t="str">
        <f t="shared" si="41"/>
        <v/>
      </c>
      <c r="J197" s="37" t="s">
        <v>107</v>
      </c>
    </row>
    <row r="198" spans="1:10" ht="15" customHeight="1" x14ac:dyDescent="0.25">
      <c r="A198" s="34">
        <v>182</v>
      </c>
      <c r="B198" s="6">
        <f t="shared" si="36"/>
        <v>0</v>
      </c>
      <c r="C198" s="6">
        <f t="shared" si="37"/>
        <v>0</v>
      </c>
      <c r="D198" s="6">
        <f t="shared" si="38"/>
        <v>0</v>
      </c>
      <c r="E198" s="6">
        <f t="shared" si="39"/>
        <v>0</v>
      </c>
      <c r="F198" s="35">
        <f t="shared" si="40"/>
        <v>0</v>
      </c>
      <c r="G198" s="35">
        <v>0</v>
      </c>
      <c r="H198" s="6">
        <f t="shared" si="35"/>
        <v>0</v>
      </c>
      <c r="I198" s="36" t="str">
        <f t="shared" si="41"/>
        <v/>
      </c>
      <c r="J198" s="37" t="s">
        <v>107</v>
      </c>
    </row>
    <row r="199" spans="1:10" ht="15" customHeight="1" x14ac:dyDescent="0.25">
      <c r="A199" s="34">
        <v>183</v>
      </c>
      <c r="B199" s="6">
        <f t="shared" si="36"/>
        <v>0</v>
      </c>
      <c r="C199" s="6">
        <f t="shared" si="37"/>
        <v>0</v>
      </c>
      <c r="D199" s="6">
        <f t="shared" si="38"/>
        <v>0</v>
      </c>
      <c r="E199" s="6">
        <f t="shared" si="39"/>
        <v>0</v>
      </c>
      <c r="F199" s="35">
        <f t="shared" si="40"/>
        <v>0</v>
      </c>
      <c r="G199" s="35">
        <v>0</v>
      </c>
      <c r="H199" s="6">
        <f t="shared" si="35"/>
        <v>0</v>
      </c>
      <c r="I199" s="36" t="str">
        <f t="shared" si="41"/>
        <v/>
      </c>
      <c r="J199" s="37" t="s">
        <v>107</v>
      </c>
    </row>
    <row r="200" spans="1:10" ht="15" customHeight="1" x14ac:dyDescent="0.25">
      <c r="A200" s="34">
        <v>184</v>
      </c>
      <c r="B200" s="6">
        <f t="shared" si="36"/>
        <v>0</v>
      </c>
      <c r="C200" s="6">
        <f t="shared" si="37"/>
        <v>0</v>
      </c>
      <c r="D200" s="6">
        <f t="shared" si="38"/>
        <v>0</v>
      </c>
      <c r="E200" s="6">
        <f t="shared" si="39"/>
        <v>0</v>
      </c>
      <c r="F200" s="35">
        <f t="shared" si="40"/>
        <v>0</v>
      </c>
      <c r="G200" s="35">
        <v>0</v>
      </c>
      <c r="H200" s="6">
        <f t="shared" si="35"/>
        <v>0</v>
      </c>
      <c r="I200" s="36" t="str">
        <f t="shared" si="41"/>
        <v/>
      </c>
      <c r="J200" s="37" t="s">
        <v>107</v>
      </c>
    </row>
    <row r="201" spans="1:10" ht="15" customHeight="1" x14ac:dyDescent="0.25">
      <c r="A201" s="34">
        <v>185</v>
      </c>
      <c r="B201" s="6">
        <f t="shared" si="36"/>
        <v>0</v>
      </c>
      <c r="C201" s="6">
        <f t="shared" si="37"/>
        <v>0</v>
      </c>
      <c r="D201" s="6">
        <f t="shared" si="38"/>
        <v>0</v>
      </c>
      <c r="E201" s="6">
        <f t="shared" si="39"/>
        <v>0</v>
      </c>
      <c r="F201" s="35">
        <f t="shared" si="40"/>
        <v>0</v>
      </c>
      <c r="G201" s="35">
        <v>0</v>
      </c>
      <c r="H201" s="6">
        <f t="shared" si="35"/>
        <v>0</v>
      </c>
      <c r="I201" s="36" t="str">
        <f t="shared" si="41"/>
        <v/>
      </c>
      <c r="J201" s="37" t="s">
        <v>107</v>
      </c>
    </row>
    <row r="202" spans="1:10" ht="15" customHeight="1" x14ac:dyDescent="0.25">
      <c r="A202" s="34">
        <v>186</v>
      </c>
      <c r="B202" s="6">
        <f t="shared" si="36"/>
        <v>0</v>
      </c>
      <c r="C202" s="6">
        <f t="shared" si="37"/>
        <v>0</v>
      </c>
      <c r="D202" s="6">
        <f t="shared" si="38"/>
        <v>0</v>
      </c>
      <c r="E202" s="6">
        <f t="shared" si="39"/>
        <v>0</v>
      </c>
      <c r="F202" s="35">
        <f t="shared" si="40"/>
        <v>0</v>
      </c>
      <c r="G202" s="35">
        <v>0</v>
      </c>
      <c r="H202" s="6">
        <f t="shared" si="35"/>
        <v>0</v>
      </c>
      <c r="I202" s="36" t="str">
        <f t="shared" si="41"/>
        <v/>
      </c>
      <c r="J202" s="37" t="s">
        <v>107</v>
      </c>
    </row>
    <row r="203" spans="1:10" ht="15" customHeight="1" x14ac:dyDescent="0.25">
      <c r="A203" s="34">
        <v>187</v>
      </c>
      <c r="B203" s="6">
        <f t="shared" si="36"/>
        <v>0</v>
      </c>
      <c r="C203" s="6">
        <f t="shared" si="37"/>
        <v>0</v>
      </c>
      <c r="D203" s="6">
        <f t="shared" si="38"/>
        <v>0</v>
      </c>
      <c r="E203" s="6">
        <f t="shared" si="39"/>
        <v>0</v>
      </c>
      <c r="F203" s="35">
        <f t="shared" si="40"/>
        <v>0</v>
      </c>
      <c r="G203" s="35">
        <v>0</v>
      </c>
      <c r="H203" s="6">
        <f t="shared" si="35"/>
        <v>0</v>
      </c>
      <c r="I203" s="36" t="str">
        <f t="shared" si="41"/>
        <v/>
      </c>
      <c r="J203" s="37" t="s">
        <v>107</v>
      </c>
    </row>
    <row r="204" spans="1:10" ht="15" customHeight="1" x14ac:dyDescent="0.25">
      <c r="A204" s="34">
        <v>188</v>
      </c>
      <c r="B204" s="6">
        <f t="shared" si="36"/>
        <v>0</v>
      </c>
      <c r="C204" s="6">
        <f t="shared" si="37"/>
        <v>0</v>
      </c>
      <c r="D204" s="6">
        <f t="shared" si="38"/>
        <v>0</v>
      </c>
      <c r="E204" s="6">
        <f t="shared" si="39"/>
        <v>0</v>
      </c>
      <c r="F204" s="35">
        <f t="shared" si="40"/>
        <v>0</v>
      </c>
      <c r="G204" s="35">
        <v>0</v>
      </c>
      <c r="H204" s="6">
        <f t="shared" si="35"/>
        <v>0</v>
      </c>
      <c r="I204" s="36" t="str">
        <f t="shared" si="41"/>
        <v/>
      </c>
      <c r="J204" s="37" t="s">
        <v>107</v>
      </c>
    </row>
    <row r="205" spans="1:10" ht="15" customHeight="1" x14ac:dyDescent="0.25">
      <c r="A205" s="34">
        <v>189</v>
      </c>
      <c r="B205" s="6">
        <f t="shared" si="36"/>
        <v>0</v>
      </c>
      <c r="C205" s="6">
        <f t="shared" si="37"/>
        <v>0</v>
      </c>
      <c r="D205" s="6">
        <f t="shared" si="38"/>
        <v>0</v>
      </c>
      <c r="E205" s="6">
        <f t="shared" si="39"/>
        <v>0</v>
      </c>
      <c r="F205" s="35">
        <f t="shared" si="40"/>
        <v>0</v>
      </c>
      <c r="G205" s="35">
        <v>0</v>
      </c>
      <c r="H205" s="6">
        <f t="shared" si="35"/>
        <v>0</v>
      </c>
      <c r="I205" s="36" t="str">
        <f t="shared" si="41"/>
        <v/>
      </c>
      <c r="J205" s="37" t="s">
        <v>107</v>
      </c>
    </row>
    <row r="206" spans="1:10" ht="15" customHeight="1" x14ac:dyDescent="0.25">
      <c r="A206" s="34">
        <v>190</v>
      </c>
      <c r="B206" s="6">
        <f t="shared" si="36"/>
        <v>0</v>
      </c>
      <c r="C206" s="6">
        <f t="shared" si="37"/>
        <v>0</v>
      </c>
      <c r="D206" s="6">
        <f t="shared" si="38"/>
        <v>0</v>
      </c>
      <c r="E206" s="6">
        <f t="shared" si="39"/>
        <v>0</v>
      </c>
      <c r="F206" s="35">
        <f t="shared" si="40"/>
        <v>0</v>
      </c>
      <c r="G206" s="35">
        <v>0</v>
      </c>
      <c r="H206" s="6">
        <f t="shared" si="35"/>
        <v>0</v>
      </c>
      <c r="I206" s="36" t="str">
        <f t="shared" si="41"/>
        <v/>
      </c>
      <c r="J206" s="37" t="s">
        <v>107</v>
      </c>
    </row>
    <row r="207" spans="1:10" ht="15" customHeight="1" x14ac:dyDescent="0.25">
      <c r="A207" s="34">
        <v>191</v>
      </c>
      <c r="B207" s="6">
        <f t="shared" si="36"/>
        <v>0</v>
      </c>
      <c r="C207" s="6">
        <f t="shared" si="37"/>
        <v>0</v>
      </c>
      <c r="D207" s="6">
        <f t="shared" si="38"/>
        <v>0</v>
      </c>
      <c r="E207" s="6">
        <f t="shared" si="39"/>
        <v>0</v>
      </c>
      <c r="F207" s="35">
        <f t="shared" si="40"/>
        <v>0</v>
      </c>
      <c r="G207" s="35">
        <v>0</v>
      </c>
      <c r="H207" s="6">
        <f t="shared" si="35"/>
        <v>0</v>
      </c>
      <c r="I207" s="36" t="str">
        <f t="shared" si="41"/>
        <v/>
      </c>
      <c r="J207" s="37" t="s">
        <v>107</v>
      </c>
    </row>
    <row r="208" spans="1:10" ht="15" customHeight="1" x14ac:dyDescent="0.25">
      <c r="A208" s="34">
        <v>192</v>
      </c>
      <c r="B208" s="6">
        <f t="shared" si="36"/>
        <v>0</v>
      </c>
      <c r="C208" s="6">
        <f t="shared" si="37"/>
        <v>0</v>
      </c>
      <c r="D208" s="6">
        <f t="shared" si="38"/>
        <v>0</v>
      </c>
      <c r="E208" s="6">
        <f t="shared" si="39"/>
        <v>0</v>
      </c>
      <c r="F208" s="35">
        <f t="shared" si="40"/>
        <v>0</v>
      </c>
      <c r="G208" s="35">
        <v>0</v>
      </c>
      <c r="H208" s="6">
        <f t="shared" si="35"/>
        <v>0</v>
      </c>
      <c r="I208" s="36" t="str">
        <f t="shared" si="41"/>
        <v/>
      </c>
      <c r="J208" s="37" t="s">
        <v>107</v>
      </c>
    </row>
    <row r="209" spans="1:10" ht="15" customHeight="1" x14ac:dyDescent="0.25">
      <c r="A209" s="34">
        <v>193</v>
      </c>
      <c r="B209" s="6">
        <f t="shared" si="36"/>
        <v>0</v>
      </c>
      <c r="C209" s="6">
        <f t="shared" si="37"/>
        <v>0</v>
      </c>
      <c r="D209" s="6">
        <f t="shared" si="38"/>
        <v>0</v>
      </c>
      <c r="E209" s="6">
        <f t="shared" si="39"/>
        <v>0</v>
      </c>
      <c r="F209" s="35">
        <f t="shared" si="40"/>
        <v>0</v>
      </c>
      <c r="G209" s="35">
        <v>0</v>
      </c>
      <c r="H209" s="6">
        <f t="shared" ref="H209:H216" si="42">IF(B209&gt;0,B209+F209,0)</f>
        <v>0</v>
      </c>
      <c r="I209" s="36" t="str">
        <f t="shared" si="41"/>
        <v/>
      </c>
      <c r="J209" s="37" t="s">
        <v>107</v>
      </c>
    </row>
    <row r="210" spans="1:10" ht="15" customHeight="1" x14ac:dyDescent="0.25">
      <c r="A210" s="34">
        <v>194</v>
      </c>
      <c r="B210" s="6">
        <f t="shared" ref="B210:B216" si="43">IF(E209&gt;0,MIN($E$5+G210+$H$11,E209+C210),0)</f>
        <v>0</v>
      </c>
      <c r="C210" s="6">
        <f t="shared" ref="C210:C216" si="44">IF(E209&gt;0,ROUND(E209*$E$4,2),0)</f>
        <v>0</v>
      </c>
      <c r="D210" s="6">
        <f t="shared" ref="D210:D216" si="45">IF(E209&gt;0,B210-C210,0)</f>
        <v>0</v>
      </c>
      <c r="E210" s="6">
        <f t="shared" ref="E210:E216" si="46">IF(E209&gt;0,MAX(E209-D210,0),0)</f>
        <v>0</v>
      </c>
      <c r="F210" s="35">
        <f t="shared" ref="F210:F216" si="47">IF(E209&gt;0,$H$5,0)</f>
        <v>0</v>
      </c>
      <c r="G210" s="35">
        <v>0</v>
      </c>
      <c r="H210" s="6">
        <f t="shared" si="42"/>
        <v>0</v>
      </c>
      <c r="I210" s="36" t="str">
        <f t="shared" ref="I210:I216" si="48">IF(E210&gt;0,EDATE($B$8,A210-1),"")</f>
        <v/>
      </c>
      <c r="J210" s="37" t="s">
        <v>107</v>
      </c>
    </row>
    <row r="211" spans="1:10" ht="15" customHeight="1" x14ac:dyDescent="0.25">
      <c r="A211" s="34">
        <v>195</v>
      </c>
      <c r="B211" s="6">
        <f t="shared" si="43"/>
        <v>0</v>
      </c>
      <c r="C211" s="6">
        <f t="shared" si="44"/>
        <v>0</v>
      </c>
      <c r="D211" s="6">
        <f t="shared" si="45"/>
        <v>0</v>
      </c>
      <c r="E211" s="6">
        <f t="shared" si="46"/>
        <v>0</v>
      </c>
      <c r="F211" s="35">
        <f t="shared" si="47"/>
        <v>0</v>
      </c>
      <c r="G211" s="35">
        <v>0</v>
      </c>
      <c r="H211" s="6">
        <f t="shared" si="42"/>
        <v>0</v>
      </c>
      <c r="I211" s="36" t="str">
        <f t="shared" si="48"/>
        <v/>
      </c>
      <c r="J211" s="37" t="s">
        <v>107</v>
      </c>
    </row>
    <row r="212" spans="1:10" ht="15" customHeight="1" x14ac:dyDescent="0.25">
      <c r="A212" s="34">
        <v>196</v>
      </c>
      <c r="B212" s="6">
        <f t="shared" si="43"/>
        <v>0</v>
      </c>
      <c r="C212" s="6">
        <f t="shared" si="44"/>
        <v>0</v>
      </c>
      <c r="D212" s="6">
        <f t="shared" si="45"/>
        <v>0</v>
      </c>
      <c r="E212" s="6">
        <f t="shared" si="46"/>
        <v>0</v>
      </c>
      <c r="F212" s="35">
        <f t="shared" si="47"/>
        <v>0</v>
      </c>
      <c r="G212" s="35">
        <v>0</v>
      </c>
      <c r="H212" s="6">
        <f t="shared" si="42"/>
        <v>0</v>
      </c>
      <c r="I212" s="36" t="str">
        <f t="shared" si="48"/>
        <v/>
      </c>
      <c r="J212" s="37" t="s">
        <v>107</v>
      </c>
    </row>
    <row r="213" spans="1:10" ht="15" customHeight="1" x14ac:dyDescent="0.25">
      <c r="A213" s="34">
        <v>197</v>
      </c>
      <c r="B213" s="6">
        <f t="shared" si="43"/>
        <v>0</v>
      </c>
      <c r="C213" s="6">
        <f t="shared" si="44"/>
        <v>0</v>
      </c>
      <c r="D213" s="6">
        <f t="shared" si="45"/>
        <v>0</v>
      </c>
      <c r="E213" s="6">
        <f t="shared" si="46"/>
        <v>0</v>
      </c>
      <c r="F213" s="35">
        <f t="shared" si="47"/>
        <v>0</v>
      </c>
      <c r="G213" s="35">
        <v>0</v>
      </c>
      <c r="H213" s="6">
        <f t="shared" si="42"/>
        <v>0</v>
      </c>
      <c r="I213" s="36" t="str">
        <f t="shared" si="48"/>
        <v/>
      </c>
      <c r="J213" s="37" t="s">
        <v>107</v>
      </c>
    </row>
    <row r="214" spans="1:10" ht="15" customHeight="1" x14ac:dyDescent="0.25">
      <c r="A214" s="34">
        <v>198</v>
      </c>
      <c r="B214" s="6">
        <f t="shared" si="43"/>
        <v>0</v>
      </c>
      <c r="C214" s="6">
        <f t="shared" si="44"/>
        <v>0</v>
      </c>
      <c r="D214" s="6">
        <f t="shared" si="45"/>
        <v>0</v>
      </c>
      <c r="E214" s="6">
        <f t="shared" si="46"/>
        <v>0</v>
      </c>
      <c r="F214" s="35">
        <f t="shared" si="47"/>
        <v>0</v>
      </c>
      <c r="G214" s="35">
        <v>0</v>
      </c>
      <c r="H214" s="6">
        <f t="shared" si="42"/>
        <v>0</v>
      </c>
      <c r="I214" s="36" t="str">
        <f t="shared" si="48"/>
        <v/>
      </c>
      <c r="J214" s="37" t="s">
        <v>107</v>
      </c>
    </row>
    <row r="215" spans="1:10" ht="15" customHeight="1" x14ac:dyDescent="0.25">
      <c r="A215" s="34">
        <v>199</v>
      </c>
      <c r="B215" s="6">
        <f t="shared" si="43"/>
        <v>0</v>
      </c>
      <c r="C215" s="6">
        <f t="shared" si="44"/>
        <v>0</v>
      </c>
      <c r="D215" s="6">
        <f t="shared" si="45"/>
        <v>0</v>
      </c>
      <c r="E215" s="6">
        <f t="shared" si="46"/>
        <v>0</v>
      </c>
      <c r="F215" s="35">
        <f t="shared" si="47"/>
        <v>0</v>
      </c>
      <c r="G215" s="35">
        <v>0</v>
      </c>
      <c r="H215" s="6">
        <f t="shared" si="42"/>
        <v>0</v>
      </c>
      <c r="I215" s="36" t="str">
        <f t="shared" si="48"/>
        <v/>
      </c>
      <c r="J215" s="37" t="s">
        <v>107</v>
      </c>
    </row>
    <row r="216" spans="1:10" ht="15" customHeight="1" x14ac:dyDescent="0.25">
      <c r="A216" s="34">
        <v>200</v>
      </c>
      <c r="B216" s="6">
        <f t="shared" si="43"/>
        <v>0</v>
      </c>
      <c r="C216" s="6">
        <f t="shared" si="44"/>
        <v>0</v>
      </c>
      <c r="D216" s="6">
        <f t="shared" si="45"/>
        <v>0</v>
      </c>
      <c r="E216" s="6">
        <f t="shared" si="46"/>
        <v>0</v>
      </c>
      <c r="F216" s="35">
        <f t="shared" si="47"/>
        <v>0</v>
      </c>
      <c r="G216" s="35">
        <v>0</v>
      </c>
      <c r="H216" s="6">
        <f t="shared" si="42"/>
        <v>0</v>
      </c>
      <c r="I216" s="36" t="str">
        <f t="shared" si="48"/>
        <v/>
      </c>
      <c r="J216" s="37" t="s">
        <v>107</v>
      </c>
    </row>
    <row r="217" spans="1:10" ht="15" customHeight="1" x14ac:dyDescent="0.25">
      <c r="A217" s="30" t="s">
        <v>47</v>
      </c>
      <c r="B217" s="38">
        <f>SUMIF(B17:B216,"&gt;0")</f>
        <v>12314.070000000005</v>
      </c>
      <c r="C217" s="38">
        <f>SUMIF(C17:C216,"&gt;0")</f>
        <v>2314.0700000000011</v>
      </c>
      <c r="D217" s="38">
        <f>SUMIF(D17:D216,"&gt;0")</f>
        <v>9999.9999999999982</v>
      </c>
      <c r="F217" s="38">
        <f>SUMIF(F17:F216,"&gt;0")</f>
        <v>540</v>
      </c>
      <c r="G217" s="38">
        <f>SUM(G17:G216)</f>
        <v>0</v>
      </c>
      <c r="H217" s="38">
        <f>SUMIF(H17:H216,"&gt;0")</f>
        <v>12854.070000000005</v>
      </c>
    </row>
    <row r="219" spans="1:10" ht="15" customHeight="1" x14ac:dyDescent="0.25">
      <c r="A219" s="2" t="s">
        <v>108</v>
      </c>
    </row>
    <row r="220" spans="1:10" ht="15" customHeight="1" x14ac:dyDescent="0.25">
      <c r="A220" s="1" t="s">
        <v>109</v>
      </c>
      <c r="B220" s="10">
        <f>$B$5</f>
        <v>10000</v>
      </c>
    </row>
    <row r="221" spans="1:10" ht="15" customHeight="1" x14ac:dyDescent="0.25">
      <c r="A221" s="1" t="s">
        <v>110</v>
      </c>
      <c r="B221" s="10">
        <f>C217</f>
        <v>2314.0700000000011</v>
      </c>
    </row>
    <row r="222" spans="1:10" ht="15" customHeight="1" x14ac:dyDescent="0.25">
      <c r="A222" s="1" t="s">
        <v>111</v>
      </c>
      <c r="B222" s="10">
        <f>F217</f>
        <v>540</v>
      </c>
    </row>
    <row r="223" spans="1:10" ht="15" customHeight="1" x14ac:dyDescent="0.25">
      <c r="A223" s="1" t="s">
        <v>112</v>
      </c>
      <c r="B223" s="10">
        <f>H217</f>
        <v>12854.070000000005</v>
      </c>
    </row>
    <row r="224" spans="1:10" ht="15" customHeight="1" x14ac:dyDescent="0.25">
      <c r="A224" s="1" t="s">
        <v>96</v>
      </c>
      <c r="B224" s="39">
        <f>COUNTIF(B17:B216,"&gt;0")</f>
        <v>36</v>
      </c>
    </row>
    <row r="225" spans="1:2" ht="15" customHeight="1" x14ac:dyDescent="0.25">
      <c r="A225" s="1" t="s">
        <v>113</v>
      </c>
      <c r="B225" s="33">
        <f>H217/$B$5</f>
        <v>1.2854070000000004</v>
      </c>
    </row>
    <row r="226" spans="1:2" ht="15" customHeight="1" x14ac:dyDescent="0.25">
      <c r="A226" s="1" t="s">
        <v>114</v>
      </c>
      <c r="B226" s="10">
        <f>$E$12</f>
        <v>36</v>
      </c>
    </row>
  </sheetData>
  <mergeCells count="2">
    <mergeCell ref="A1:J1"/>
    <mergeCell ref="A15:G15"/>
  </mergeCells>
  <dataValidations count="1">
    <dataValidation type="list" errorTitle="Invalid Entry" error="Please select Yes or No" sqref="J17:J216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zoomScaleNormal="100" workbookViewId="0">
      <selection activeCell="E33" sqref="E33"/>
    </sheetView>
  </sheetViews>
  <sheetFormatPr baseColWidth="10" defaultColWidth="8.7109375" defaultRowHeight="15" x14ac:dyDescent="0.25"/>
  <cols>
    <col min="1" max="1" width="33.85546875" style="1" customWidth="1"/>
    <col min="2" max="2" width="16.85546875" style="1" bestFit="1" customWidth="1"/>
    <col min="3" max="3" width="14" style="1" customWidth="1"/>
    <col min="4" max="4" width="19.42578125" style="1" bestFit="1" customWidth="1"/>
    <col min="5" max="5" width="37.7109375" style="1" bestFit="1" customWidth="1"/>
    <col min="6" max="6" width="15.28515625" style="1" bestFit="1" customWidth="1"/>
    <col min="7" max="7" width="12.85546875" style="1" bestFit="1" customWidth="1"/>
    <col min="8" max="8" width="12.5703125" style="1" bestFit="1" customWidth="1"/>
    <col min="9" max="9" width="14.7109375" style="1" bestFit="1" customWidth="1"/>
    <col min="10" max="10" width="12" style="1" customWidth="1"/>
    <col min="11" max="14" width="13" style="1" hidden="1" customWidth="1"/>
  </cols>
  <sheetData>
    <row r="1" spans="1:14" ht="19.5" customHeight="1" x14ac:dyDescent="0.25">
      <c r="A1" s="44" t="s">
        <v>33</v>
      </c>
      <c r="B1" s="44"/>
      <c r="C1" s="44"/>
      <c r="D1" s="44"/>
      <c r="E1" s="44"/>
      <c r="F1" s="44"/>
      <c r="G1" s="44"/>
      <c r="H1" s="44"/>
      <c r="I1" s="44"/>
      <c r="J1" s="44"/>
    </row>
    <row r="2" spans="1:14" ht="15" customHeight="1" x14ac:dyDescent="0.25">
      <c r="A2" s="45" t="s">
        <v>34</v>
      </c>
      <c r="B2" s="45"/>
      <c r="C2" s="45"/>
      <c r="D2" s="45"/>
      <c r="E2" s="45"/>
      <c r="F2" s="45"/>
      <c r="G2" s="45"/>
      <c r="H2" s="45"/>
      <c r="I2" s="45"/>
      <c r="J2" s="45"/>
    </row>
    <row r="4" spans="1:14" ht="15" customHeight="1" x14ac:dyDescent="0.25">
      <c r="A4" s="2" t="s">
        <v>35</v>
      </c>
    </row>
    <row r="5" spans="1:14" ht="15" customHeight="1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1" t="s">
        <v>36</v>
      </c>
      <c r="L5" s="1" t="s">
        <v>38</v>
      </c>
      <c r="M5" s="1" t="s">
        <v>37</v>
      </c>
      <c r="N5" s="1" t="s">
        <v>46</v>
      </c>
    </row>
    <row r="6" spans="1:14" ht="15" customHeight="1" x14ac:dyDescent="0.25">
      <c r="A6" s="5" t="str">
        <f>Credit_1!B4</f>
        <v>Car Loan</v>
      </c>
      <c r="B6" s="6">
        <f>Credit_1!B5</f>
        <v>30000</v>
      </c>
      <c r="C6" s="7">
        <f>Credit_1!B6</f>
        <v>0.19</v>
      </c>
      <c r="D6" s="6">
        <f>Credit_1!E5</f>
        <v>531.3584106707566</v>
      </c>
      <c r="E6" s="6">
        <f>Credit_1!H5</f>
        <v>25</v>
      </c>
      <c r="F6" s="6">
        <f>D6+E6</f>
        <v>556.3584106707566</v>
      </c>
      <c r="G6" s="6">
        <f>Credit_1!B12</f>
        <v>3869.0752320122701</v>
      </c>
      <c r="H6" s="8">
        <f>Credit_1!B11</f>
        <v>3</v>
      </c>
      <c r="I6" s="6">
        <f>Credit_1!C217</f>
        <v>25447.949999999993</v>
      </c>
      <c r="J6" s="6">
        <f>Credit_1!F217</f>
        <v>2525</v>
      </c>
      <c r="K6" s="1" t="str">
        <f>Credit_1!B4</f>
        <v>Car Loan</v>
      </c>
      <c r="L6" s="9">
        <f>Credit_1!B6</f>
        <v>0.19</v>
      </c>
      <c r="M6" s="10">
        <f>Credit_1!B5</f>
        <v>30000</v>
      </c>
      <c r="N6" s="1">
        <f>RANK(L6,$L$6:$L$8,0)</f>
        <v>1</v>
      </c>
    </row>
    <row r="7" spans="1:14" ht="15" customHeight="1" x14ac:dyDescent="0.25">
      <c r="A7" s="5" t="str">
        <f>Credit_2!B4</f>
        <v>Home Mortgage</v>
      </c>
      <c r="B7" s="6">
        <f>Credit_2!B5</f>
        <v>150000</v>
      </c>
      <c r="C7" s="7">
        <f>Credit_2!B6</f>
        <v>6.5000000000000002E-2</v>
      </c>
      <c r="D7" s="6">
        <f>Credit_2!E5</f>
        <v>1291.3749910479357</v>
      </c>
      <c r="E7" s="6">
        <f>Credit_2!H5</f>
        <v>150</v>
      </c>
      <c r="F7" s="6">
        <f>D7+E7</f>
        <v>1441.3749910479357</v>
      </c>
      <c r="G7" s="6">
        <f>Credit_2!B12</f>
        <v>0</v>
      </c>
      <c r="H7" s="8">
        <f>Credit_2!B11</f>
        <v>0</v>
      </c>
      <c r="I7" s="6">
        <f>Credit_2!C217</f>
        <v>82447.459999999977</v>
      </c>
      <c r="J7" s="6">
        <f>Credit_2!F217</f>
        <v>27000</v>
      </c>
      <c r="K7" s="1" t="str">
        <f>Credit_2!B4</f>
        <v>Home Mortgage</v>
      </c>
      <c r="L7" s="9">
        <f>Credit_2!B6</f>
        <v>6.5000000000000002E-2</v>
      </c>
      <c r="M7" s="10">
        <f>Credit_2!B5</f>
        <v>150000</v>
      </c>
      <c r="N7" s="1">
        <f>RANK(L7,$L$6:$L$8,0)</f>
        <v>3</v>
      </c>
    </row>
    <row r="8" spans="1:14" ht="15" customHeight="1" x14ac:dyDescent="0.25">
      <c r="A8" s="5" t="str">
        <f>Credit_3!B4</f>
        <v>Personal Loan</v>
      </c>
      <c r="B8" s="6">
        <f>Credit_3!B5</f>
        <v>10000</v>
      </c>
      <c r="C8" s="7">
        <f>Credit_3!B6</f>
        <v>0.15</v>
      </c>
      <c r="D8" s="6">
        <f>Credit_3!E5</f>
        <v>342.05758138674139</v>
      </c>
      <c r="E8" s="6">
        <f>Credit_3!H5</f>
        <v>15</v>
      </c>
      <c r="F8" s="6">
        <f>D8+E8</f>
        <v>357.05758138674139</v>
      </c>
      <c r="G8" s="6">
        <f>Credit_3!B12</f>
        <v>0</v>
      </c>
      <c r="H8" s="8">
        <f>Credit_3!B11</f>
        <v>0</v>
      </c>
      <c r="I8" s="6">
        <f>Credit_3!C217</f>
        <v>2314.0700000000011</v>
      </c>
      <c r="J8" s="6">
        <f>Credit_3!F217</f>
        <v>540</v>
      </c>
      <c r="K8" s="1" t="str">
        <f>Credit_3!B4</f>
        <v>Personal Loan</v>
      </c>
      <c r="L8" s="9">
        <f>Credit_3!B6</f>
        <v>0.15</v>
      </c>
      <c r="M8" s="10">
        <f>Credit_3!B5</f>
        <v>10000</v>
      </c>
      <c r="N8" s="1">
        <f>RANK(L8,$L$6:$L$8,0)</f>
        <v>2</v>
      </c>
    </row>
    <row r="9" spans="1:14" ht="15" customHeight="1" x14ac:dyDescent="0.25">
      <c r="A9" s="11" t="s">
        <v>47</v>
      </c>
      <c r="B9" s="12">
        <f>SUM(B6:B8)</f>
        <v>190000</v>
      </c>
      <c r="C9" s="13"/>
      <c r="D9" s="12">
        <f>SUM(D6:D8)</f>
        <v>2164.7909831054335</v>
      </c>
      <c r="E9" s="12">
        <f>SUM(E6:E8)</f>
        <v>190</v>
      </c>
      <c r="F9" s="12">
        <f>SUM(F6:F8)</f>
        <v>2354.7909831054335</v>
      </c>
      <c r="G9" s="12">
        <f>SUM(G6:G8)</f>
        <v>3869.0752320122701</v>
      </c>
      <c r="H9" s="14"/>
      <c r="I9" s="12">
        <f>SUM(I6:I8)</f>
        <v>110209.47999999998</v>
      </c>
      <c r="J9" s="12">
        <f>SUM(J6:J8)</f>
        <v>30065</v>
      </c>
    </row>
    <row r="11" spans="1:14" ht="15" customHeight="1" x14ac:dyDescent="0.25">
      <c r="A11" s="2" t="s">
        <v>48</v>
      </c>
    </row>
    <row r="12" spans="1:14" ht="15" customHeight="1" x14ac:dyDescent="0.25">
      <c r="A12" s="1" t="s">
        <v>49</v>
      </c>
      <c r="B12" s="15">
        <f>B9</f>
        <v>190000</v>
      </c>
      <c r="D12" s="1" t="s">
        <v>50</v>
      </c>
      <c r="E12" s="10">
        <f>I9</f>
        <v>110209.47999999998</v>
      </c>
    </row>
    <row r="13" spans="1:14" ht="15" customHeight="1" x14ac:dyDescent="0.25">
      <c r="A13" s="1" t="s">
        <v>51</v>
      </c>
      <c r="B13" s="16">
        <f>D9</f>
        <v>2164.7909831054335</v>
      </c>
      <c r="D13" s="1" t="s">
        <v>52</v>
      </c>
      <c r="E13" s="10">
        <f>J9</f>
        <v>30065</v>
      </c>
    </row>
    <row r="14" spans="1:14" ht="15" customHeight="1" x14ac:dyDescent="0.25">
      <c r="A14" s="1" t="s">
        <v>53</v>
      </c>
      <c r="B14" s="10">
        <f>E9</f>
        <v>190</v>
      </c>
      <c r="D14" s="1" t="s">
        <v>54</v>
      </c>
      <c r="E14" s="15">
        <f>B9+I9+J9</f>
        <v>330274.48</v>
      </c>
    </row>
    <row r="15" spans="1:14" ht="15" customHeight="1" x14ac:dyDescent="0.25">
      <c r="A15" s="1" t="s">
        <v>55</v>
      </c>
      <c r="B15" s="15">
        <f>F9</f>
        <v>2354.7909831054335</v>
      </c>
    </row>
    <row r="17" spans="1:8" ht="15" customHeight="1" x14ac:dyDescent="0.25">
      <c r="A17" s="2" t="s">
        <v>56</v>
      </c>
    </row>
    <row r="18" spans="1:8" ht="15" customHeight="1" x14ac:dyDescent="0.25">
      <c r="A18" s="17" t="s">
        <v>57</v>
      </c>
      <c r="B18" s="17" t="s">
        <v>36</v>
      </c>
      <c r="C18" s="17" t="s">
        <v>58</v>
      </c>
      <c r="D18" s="17" t="s">
        <v>59</v>
      </c>
      <c r="E18" s="17" t="s">
        <v>60</v>
      </c>
    </row>
    <row r="19" spans="1:8" ht="15" customHeight="1" x14ac:dyDescent="0.25">
      <c r="A19" s="5" t="s">
        <v>61</v>
      </c>
      <c r="B19" s="5" t="str">
        <f>INDEX($K$6:$K$8,MATCH(1,$N$6:$N$8,0))</f>
        <v>Car Loan</v>
      </c>
      <c r="C19" s="7">
        <f>INDEX($L$6:$L$8,MATCH(1,$N$6:$N$8,0))</f>
        <v>0.19</v>
      </c>
      <c r="D19" s="6">
        <f>INDEX($M$6:$M$8,MATCH(1,$N$6:$N$8,0))</f>
        <v>30000</v>
      </c>
      <c r="E19" s="18" t="s">
        <v>62</v>
      </c>
    </row>
    <row r="20" spans="1:8" ht="15" customHeight="1" x14ac:dyDescent="0.25">
      <c r="A20" s="5" t="s">
        <v>63</v>
      </c>
      <c r="B20" s="5" t="str">
        <f>INDEX($K$6:$K$8,MATCH(2,$N$6:$N$8,0))</f>
        <v>Personal Loan</v>
      </c>
      <c r="C20" s="7">
        <f>INDEX($L$6:$L$8,MATCH(2,$N$6:$N$8,0))</f>
        <v>0.15</v>
      </c>
      <c r="D20" s="6">
        <f>INDEX($M$6:$M$8,MATCH(2,$N$6:$N$8,0))</f>
        <v>10000</v>
      </c>
      <c r="E20" s="19" t="s">
        <v>64</v>
      </c>
    </row>
    <row r="21" spans="1:8" ht="15" customHeight="1" x14ac:dyDescent="0.25">
      <c r="A21" s="5" t="s">
        <v>65</v>
      </c>
      <c r="B21" s="5" t="str">
        <f>INDEX($K$6:$K$8,MATCH(3,$N$6:$N$8,0))</f>
        <v>Home Mortgage</v>
      </c>
      <c r="C21" s="7">
        <f>INDEX($L$6:$L$8,MATCH(3,$N$6:$N$8,0))</f>
        <v>6.5000000000000002E-2</v>
      </c>
      <c r="D21" s="6">
        <f>INDEX($M$6:$M$8,MATCH(3,$N$6:$N$8,0))</f>
        <v>150000</v>
      </c>
      <c r="E21" s="20" t="s">
        <v>66</v>
      </c>
    </row>
    <row r="23" spans="1:8" ht="15" customHeight="1" x14ac:dyDescent="0.25">
      <c r="A23" s="46" t="s">
        <v>67</v>
      </c>
      <c r="B23" s="46"/>
      <c r="C23" s="46"/>
      <c r="D23" s="46"/>
      <c r="E23" s="46"/>
      <c r="F23" s="46"/>
      <c r="G23" s="46"/>
      <c r="H23" s="46"/>
    </row>
    <row r="24" spans="1:8" ht="15" customHeight="1" x14ac:dyDescent="0.25">
      <c r="A24" s="21" t="s">
        <v>36</v>
      </c>
      <c r="B24" s="21" t="s">
        <v>68</v>
      </c>
      <c r="C24" s="21" t="s">
        <v>69</v>
      </c>
      <c r="D24" s="21" t="s">
        <v>70</v>
      </c>
      <c r="E24" s="21" t="s">
        <v>71</v>
      </c>
    </row>
    <row r="25" spans="1:8" ht="15" customHeight="1" x14ac:dyDescent="0.25">
      <c r="A25" s="5" t="str">
        <f>Credit_1!B4</f>
        <v>Car Loan</v>
      </c>
      <c r="B25" s="22">
        <f>Credit_1!B11</f>
        <v>3</v>
      </c>
      <c r="C25" s="6">
        <f>Credit_1!B12</f>
        <v>3869.0752320122701</v>
      </c>
      <c r="D25" s="23">
        <f>Credit_1!B13</f>
        <v>2.9702970297029702E-2</v>
      </c>
      <c r="E25" s="6">
        <f>Credit_1!E13</f>
        <v>27498.344767987728</v>
      </c>
    </row>
    <row r="26" spans="1:8" ht="15" customHeight="1" x14ac:dyDescent="0.25">
      <c r="A26" s="5" t="str">
        <f>Credit_2!B4</f>
        <v>Home Mortgage</v>
      </c>
      <c r="B26" s="22">
        <f>Credit_2!B11</f>
        <v>0</v>
      </c>
      <c r="C26" s="6">
        <f>Credit_2!B12</f>
        <v>0</v>
      </c>
      <c r="D26" s="23">
        <f>Credit_2!B13</f>
        <v>0</v>
      </c>
      <c r="E26" s="6">
        <f>Credit_2!E13</f>
        <v>150000</v>
      </c>
    </row>
    <row r="27" spans="1:8" ht="15" customHeight="1" x14ac:dyDescent="0.25">
      <c r="A27" s="5" t="str">
        <f>Credit_3!B4</f>
        <v>Personal Loan</v>
      </c>
      <c r="B27" s="22">
        <f>Credit_3!B11</f>
        <v>0</v>
      </c>
      <c r="C27" s="6">
        <f>Credit_3!B12</f>
        <v>0</v>
      </c>
      <c r="D27" s="23">
        <f>Credit_3!B13</f>
        <v>0</v>
      </c>
      <c r="E27" s="6">
        <f>Credit_3!E13</f>
        <v>10000</v>
      </c>
    </row>
    <row r="28" spans="1:8" ht="15" customHeight="1" x14ac:dyDescent="0.25">
      <c r="A28" s="11" t="s">
        <v>47</v>
      </c>
      <c r="B28" s="24">
        <f>SUM(B25:B27)</f>
        <v>3</v>
      </c>
      <c r="C28" s="12">
        <f>SUM(C25:C27)</f>
        <v>3869.0752320122701</v>
      </c>
      <c r="D28" s="25">
        <f>IF(B28&gt;0,B28/(Credit_1!E12+Credit_2!E12+Credit_3!E12),0)</f>
        <v>9.4637223974763408E-3</v>
      </c>
      <c r="E28" s="12">
        <f>SUM(E25:E27)</f>
        <v>187498.34476798773</v>
      </c>
    </row>
    <row r="30" spans="1:8" ht="15" customHeight="1" x14ac:dyDescent="0.25">
      <c r="A30" s="47" t="s">
        <v>72</v>
      </c>
      <c r="B30" s="47"/>
      <c r="C30" s="47"/>
      <c r="D30" s="47"/>
      <c r="E30" s="47"/>
      <c r="F30" s="47"/>
      <c r="G30" s="47"/>
      <c r="H30" s="47"/>
    </row>
  </sheetData>
  <mergeCells count="4">
    <mergeCell ref="A1:J1"/>
    <mergeCell ref="A2:J2"/>
    <mergeCell ref="A23:H23"/>
    <mergeCell ref="A30:H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Instructions</vt:lpstr>
      <vt:lpstr>Credit_1</vt:lpstr>
      <vt:lpstr>Credit_2</vt:lpstr>
      <vt:lpstr>Credit_3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USUARIO1</cp:lastModifiedBy>
  <cp:revision>9</cp:revision>
  <dcterms:created xsi:type="dcterms:W3CDTF">2025-12-01T14:01:28Z</dcterms:created>
  <dcterms:modified xsi:type="dcterms:W3CDTF">2025-12-01T22:38:22Z</dcterms:modified>
  <dc:language>en-US</dc:language>
</cp:coreProperties>
</file>